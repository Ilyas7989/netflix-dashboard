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I:\businesses\adava\"/>
    </mc:Choice>
  </mc:AlternateContent>
  <xr:revisionPtr revIDLastSave="0" documentId="13_ncr:1_{A9973716-2088-4113-B0E4-FEE638F74834}" xr6:coauthVersionLast="47" xr6:coauthVersionMax="47" xr10:uidLastSave="{00000000-0000-0000-0000-000000000000}"/>
  <bookViews>
    <workbookView xWindow="-108" yWindow="-108" windowWidth="23256" windowHeight="12456" firstSheet="2" activeTab="2" xr2:uid="{B9E2ADD4-3DD5-47E6-80A5-8D9C88B5E394}"/>
  </bookViews>
  <sheets>
    <sheet name="Sheet8" sheetId="10" r:id="rId1"/>
    <sheet name="Sheet9" sheetId="11" r:id="rId2"/>
    <sheet name="Series_Data" sheetId="1" r:id="rId3"/>
    <sheet name="KPI" sheetId="2" r:id="rId4"/>
    <sheet name="P-1" sheetId="3" r:id="rId5"/>
    <sheet name="P-2" sheetId="4" r:id="rId6"/>
    <sheet name="P-3" sheetId="5" r:id="rId7"/>
    <sheet name="P-4" sheetId="7" r:id="rId8"/>
    <sheet name="P-5" sheetId="6" r:id="rId9"/>
    <sheet name="DASHBORD" sheetId="8" r:id="rId10"/>
  </sheets>
  <definedNames>
    <definedName name="_xlcn.WorksheetConnection_Book1.xlsxSeries_Data1" hidden="1">Series_Data[]</definedName>
    <definedName name="Slicer_Genre">#N/A</definedName>
    <definedName name="Slicer_Rating_Category">#N/A</definedName>
    <definedName name="Slicer_Status">#N/A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841E416B-1EF1-43b6-AB56-02D37102CBD5}">
      <x15:pivotCaches>
        <pivotCache cacheId="3" r:id="rId17"/>
      </x15:pivotCaches>
    </ext>
    <ext xmlns:x15="http://schemas.microsoft.com/office/spreadsheetml/2010/11/main" uri="{983426D0-5260-488c-9760-48F4B6AC55F4}">
      <x15:pivotTableReferences>
        <x15:pivotTableReference r:id="rId1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ries_Data" name="Series_Data" connection="WorksheetConnection_Book1.xlsx!Seri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B6" i="2"/>
  <c r="B5" i="2"/>
  <c r="B4" i="2"/>
  <c r="B3" i="2"/>
  <c r="B2" i="2"/>
  <c r="N25" i="1"/>
  <c r="N3" i="1"/>
  <c r="N4" i="1"/>
  <c r="N5" i="1"/>
  <c r="N6" i="1"/>
  <c r="N7" i="1"/>
  <c r="N8" i="1"/>
  <c r="N9" i="1"/>
  <c r="N10" i="1"/>
  <c r="N11" i="1"/>
  <c r="N12" i="1"/>
  <c r="N13" i="1"/>
  <c r="N14" i="1"/>
  <c r="N15" i="1"/>
  <c r="N16" i="1"/>
  <c r="N17" i="1"/>
  <c r="N18" i="1"/>
  <c r="N19" i="1"/>
  <c r="N20" i="1"/>
  <c r="N21" i="1"/>
  <c r="N22" i="1"/>
  <c r="N23" i="1"/>
  <c r="N24"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2"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CCE8AA-D76F-4472-A847-CC3417413D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83C43A-01AC-4047-8892-CBB12CE89E7A}" name="WorksheetConnection_Book1.xlsx!Series_Data" type="102" refreshedVersion="8" minRefreshableVersion="5">
    <extLst>
      <ext xmlns:x15="http://schemas.microsoft.com/office/spreadsheetml/2010/11/main" uri="{DE250136-89BD-433C-8126-D09CA5730AF9}">
        <x15:connection id="Series_Data" autoDelete="1">
          <x15:rangePr sourceName="_xlcn.WorksheetConnection_Book1.xlsxSeries_Data1"/>
        </x15:connection>
      </ext>
    </extLst>
  </connection>
</connections>
</file>

<file path=xl/sharedStrings.xml><?xml version="1.0" encoding="utf-8"?>
<sst xmlns="http://schemas.openxmlformats.org/spreadsheetml/2006/main" count="595" uniqueCount="287">
  <si>
    <t>Series ID</t>
  </si>
  <si>
    <t>Series Name</t>
  </si>
  <si>
    <t>Genre</t>
  </si>
  <si>
    <t>Seasons</t>
  </si>
  <si>
    <t>Episodes</t>
  </si>
  <si>
    <t>Rating</t>
  </si>
  <si>
    <t>Start Date</t>
  </si>
  <si>
    <t>End Date</t>
  </si>
  <si>
    <t>Watch Time (Hours)</t>
  </si>
  <si>
    <t>Status</t>
  </si>
  <si>
    <t>S001</t>
  </si>
  <si>
    <t>Stranger Things</t>
  </si>
  <si>
    <t>Sci-Fi</t>
  </si>
  <si>
    <t>18-01-2026</t>
  </si>
  <si>
    <t>Completed</t>
  </si>
  <si>
    <t>S002</t>
  </si>
  <si>
    <t>The Witcher</t>
  </si>
  <si>
    <t>Fantasy</t>
  </si>
  <si>
    <t>25-01-2026</t>
  </si>
  <si>
    <t>S003</t>
  </si>
  <si>
    <t>Money Heist</t>
  </si>
  <si>
    <t>Crime</t>
  </si>
  <si>
    <t>18-02-2026</t>
  </si>
  <si>
    <t>S004</t>
  </si>
  <si>
    <t>The Queen's Gambit</t>
  </si>
  <si>
    <t>Drama</t>
  </si>
  <si>
    <t>20-02-2026</t>
  </si>
  <si>
    <t>25-02-2026</t>
  </si>
  <si>
    <t>S005</t>
  </si>
  <si>
    <t>Dark</t>
  </si>
  <si>
    <t>15-03-2026</t>
  </si>
  <si>
    <t>S006</t>
  </si>
  <si>
    <t>Breaking Bad</t>
  </si>
  <si>
    <t>28-03-2026</t>
  </si>
  <si>
    <t>S007</t>
  </si>
  <si>
    <t>Black Mirror</t>
  </si>
  <si>
    <t>15-04-2026</t>
  </si>
  <si>
    <t>S008</t>
  </si>
  <si>
    <t>Lucifer</t>
  </si>
  <si>
    <t>28-04-2026</t>
  </si>
  <si>
    <t>S009</t>
  </si>
  <si>
    <t>Peaky Blinders</t>
  </si>
  <si>
    <t>18-05-2026</t>
  </si>
  <si>
    <t>S010</t>
  </si>
  <si>
    <t>Squid Game</t>
  </si>
  <si>
    <t>Thriller</t>
  </si>
  <si>
    <t>15-05-2026</t>
  </si>
  <si>
    <t>S011</t>
  </si>
  <si>
    <t>The Boys</t>
  </si>
  <si>
    <t>Action</t>
  </si>
  <si>
    <t>16-06-2026</t>
  </si>
  <si>
    <t>S012</t>
  </si>
  <si>
    <t>Wednesday</t>
  </si>
  <si>
    <t>Comedy</t>
  </si>
  <si>
    <t>S013</t>
  </si>
  <si>
    <t>Vikings</t>
  </si>
  <si>
    <t>15-06-2026</t>
  </si>
  <si>
    <t>30-06-2026</t>
  </si>
  <si>
    <t>S014</t>
  </si>
  <si>
    <t>Loki</t>
  </si>
  <si>
    <t>S015</t>
  </si>
  <si>
    <t>Arcane</t>
  </si>
  <si>
    <t>Animation</t>
  </si>
  <si>
    <t>15-07-2026</t>
  </si>
  <si>
    <t>S016</t>
  </si>
  <si>
    <t>Bridgerton</t>
  </si>
  <si>
    <t>Romance</t>
  </si>
  <si>
    <t>15-08-2026</t>
  </si>
  <si>
    <t>S017</t>
  </si>
  <si>
    <t>The Last of Us</t>
  </si>
  <si>
    <t>Ongoing</t>
  </si>
  <si>
    <t>S018</t>
  </si>
  <si>
    <t>House of the Dragon</t>
  </si>
  <si>
    <t>S019</t>
  </si>
  <si>
    <t>One Piece</t>
  </si>
  <si>
    <t>Adventure</t>
  </si>
  <si>
    <t>S020</t>
  </si>
  <si>
    <t>The Umbrella Academy</t>
  </si>
  <si>
    <t>S021</t>
  </si>
  <si>
    <t>You</t>
  </si>
  <si>
    <t>S022</t>
  </si>
  <si>
    <t>Narcos</t>
  </si>
  <si>
    <t>15-01-2026</t>
  </si>
  <si>
    <t>28-01-2026</t>
  </si>
  <si>
    <t>S023</t>
  </si>
  <si>
    <t>Cobra Kai</t>
  </si>
  <si>
    <t>S024</t>
  </si>
  <si>
    <t>All of Us Are Dead</t>
  </si>
  <si>
    <t>Horror</t>
  </si>
  <si>
    <t>18-03-2026</t>
  </si>
  <si>
    <t>S025</t>
  </si>
  <si>
    <t>The Sandman</t>
  </si>
  <si>
    <t>S026</t>
  </si>
  <si>
    <t>Mystery</t>
  </si>
  <si>
    <t>20-04-2026</t>
  </si>
  <si>
    <t>27-04-2026</t>
  </si>
  <si>
    <t>S027</t>
  </si>
  <si>
    <t>The Lincoln Lawyer</t>
  </si>
  <si>
    <t>22-05-2026</t>
  </si>
  <si>
    <t>S028</t>
  </si>
  <si>
    <t>Manifest</t>
  </si>
  <si>
    <t>25-06-2026</t>
  </si>
  <si>
    <t>S029</t>
  </si>
  <si>
    <t>Outer Banks</t>
  </si>
  <si>
    <t>20-07-2026</t>
  </si>
  <si>
    <t>S030</t>
  </si>
  <si>
    <t>The Night Agent</t>
  </si>
  <si>
    <t>25-07-2026</t>
  </si>
  <si>
    <t>S031</t>
  </si>
  <si>
    <t>Suits</t>
  </si>
  <si>
    <t>S032</t>
  </si>
  <si>
    <t>Dexter</t>
  </si>
  <si>
    <t>S033</t>
  </si>
  <si>
    <t>House M.D.</t>
  </si>
  <si>
    <t>15-02-2026</t>
  </si>
  <si>
    <t>S034</t>
  </si>
  <si>
    <t>Lost</t>
  </si>
  <si>
    <t>20-03-2026</t>
  </si>
  <si>
    <t>S035</t>
  </si>
  <si>
    <t>The 100</t>
  </si>
  <si>
    <t>25-03-2026</t>
  </si>
  <si>
    <t>S036</t>
  </si>
  <si>
    <t>Teen Wolf</t>
  </si>
  <si>
    <t>S037</t>
  </si>
  <si>
    <t>The Flash</t>
  </si>
  <si>
    <t>25-04-2026</t>
  </si>
  <si>
    <t>S038</t>
  </si>
  <si>
    <t>Sherlock</t>
  </si>
  <si>
    <t>S039</t>
  </si>
  <si>
    <t>Better Call Saul</t>
  </si>
  <si>
    <t>S040</t>
  </si>
  <si>
    <t>Ozark</t>
  </si>
  <si>
    <t>20-05-2026</t>
  </si>
  <si>
    <t>S041</t>
  </si>
  <si>
    <t>The Crown</t>
  </si>
  <si>
    <t>30-05-2026</t>
  </si>
  <si>
    <t>S042</t>
  </si>
  <si>
    <t>Black Summer</t>
  </si>
  <si>
    <t>S043</t>
  </si>
  <si>
    <t>Sense8</t>
  </si>
  <si>
    <t>25-05-2026</t>
  </si>
  <si>
    <t>S044</t>
  </si>
  <si>
    <t>Locke &amp; Key</t>
  </si>
  <si>
    <t>S045</t>
  </si>
  <si>
    <t>Younger</t>
  </si>
  <si>
    <t>S046</t>
  </si>
  <si>
    <t>Emily in Paris</t>
  </si>
  <si>
    <t>S047</t>
  </si>
  <si>
    <t>The Recruit</t>
  </si>
  <si>
    <t>S048</t>
  </si>
  <si>
    <t>Reacher</t>
  </si>
  <si>
    <t>S049</t>
  </si>
  <si>
    <t>From</t>
  </si>
  <si>
    <t>30-07-2026</t>
  </si>
  <si>
    <t>S050</t>
  </si>
  <si>
    <t>The Sinner</t>
  </si>
  <si>
    <t>S051</t>
  </si>
  <si>
    <t>The Rookie</t>
  </si>
  <si>
    <t>S052</t>
  </si>
  <si>
    <t>Prison Break</t>
  </si>
  <si>
    <t>28-02-2026</t>
  </si>
  <si>
    <t>S053</t>
  </si>
  <si>
    <t>How I Met Your Mother</t>
  </si>
  <si>
    <t>30-03-2026</t>
  </si>
  <si>
    <t>S054</t>
  </si>
  <si>
    <t>Friends</t>
  </si>
  <si>
    <t>S055</t>
  </si>
  <si>
    <t>The Office</t>
  </si>
  <si>
    <t>S056</t>
  </si>
  <si>
    <t>Modern Family</t>
  </si>
  <si>
    <t>S057</t>
  </si>
  <si>
    <t>Brooklyn Nine-Nine</t>
  </si>
  <si>
    <t>S058</t>
  </si>
  <si>
    <t>Community</t>
  </si>
  <si>
    <t>S059</t>
  </si>
  <si>
    <t>Upload</t>
  </si>
  <si>
    <t>S060</t>
  </si>
  <si>
    <t>Altered Carbon</t>
  </si>
  <si>
    <t>S061</t>
  </si>
  <si>
    <t>Travelers</t>
  </si>
  <si>
    <t>S062</t>
  </si>
  <si>
    <t>The Expanse</t>
  </si>
  <si>
    <t>S063</t>
  </si>
  <si>
    <t>Foundation</t>
  </si>
  <si>
    <t>S064</t>
  </si>
  <si>
    <t>Andor</t>
  </si>
  <si>
    <t>S065</t>
  </si>
  <si>
    <t>Mr. Robot</t>
  </si>
  <si>
    <t>S066</t>
  </si>
  <si>
    <t>S067</t>
  </si>
  <si>
    <t>Bodyguard</t>
  </si>
  <si>
    <t>S068</t>
  </si>
  <si>
    <t>The Fall</t>
  </si>
  <si>
    <t>S069</t>
  </si>
  <si>
    <t>The Haunting of Hill House</t>
  </si>
  <si>
    <t>S070</t>
  </si>
  <si>
    <t>Midnight Mass</t>
  </si>
  <si>
    <t>S071</t>
  </si>
  <si>
    <t>Archive 81</t>
  </si>
  <si>
    <t>S072</t>
  </si>
  <si>
    <t>The Walking Dead</t>
  </si>
  <si>
    <t>S073</t>
  </si>
  <si>
    <t>Fear the Walking Dead</t>
  </si>
  <si>
    <t>S074</t>
  </si>
  <si>
    <t>Kingdom</t>
  </si>
  <si>
    <t>S075</t>
  </si>
  <si>
    <t>Sweet Home</t>
  </si>
  <si>
    <t>S076</t>
  </si>
  <si>
    <t>Vincenzo</t>
  </si>
  <si>
    <t>S077</t>
  </si>
  <si>
    <t>Crash Landing on You</t>
  </si>
  <si>
    <t>S078</t>
  </si>
  <si>
    <t>Itaewon Class</t>
  </si>
  <si>
    <t>S079</t>
  </si>
  <si>
    <t>My Name</t>
  </si>
  <si>
    <t>S080</t>
  </si>
  <si>
    <t>Alchemy of Souls</t>
  </si>
  <si>
    <t>S081</t>
  </si>
  <si>
    <t>King the Land</t>
  </si>
  <si>
    <t>S082</t>
  </si>
  <si>
    <t>Mashle</t>
  </si>
  <si>
    <t>S083</t>
  </si>
  <si>
    <t>Demon Slayer</t>
  </si>
  <si>
    <t>S084</t>
  </si>
  <si>
    <t>Attack on Titan</t>
  </si>
  <si>
    <t>S085</t>
  </si>
  <si>
    <t>Jujutsu Kaisen</t>
  </si>
  <si>
    <t>S086</t>
  </si>
  <si>
    <t>Death Note</t>
  </si>
  <si>
    <t>S087</t>
  </si>
  <si>
    <t>Naruto</t>
  </si>
  <si>
    <t>S088</t>
  </si>
  <si>
    <t>One Punch Man</t>
  </si>
  <si>
    <t>S089</t>
  </si>
  <si>
    <t>Blue Lock</t>
  </si>
  <si>
    <t>S090</t>
  </si>
  <si>
    <t>Haikyuu</t>
  </si>
  <si>
    <t>S091</t>
  </si>
  <si>
    <t>S092</t>
  </si>
  <si>
    <t>S093</t>
  </si>
  <si>
    <t>S094</t>
  </si>
  <si>
    <t>13-08-2026</t>
  </si>
  <si>
    <t>S095</t>
  </si>
  <si>
    <t>14-08-2026</t>
  </si>
  <si>
    <t>S096</t>
  </si>
  <si>
    <t>Daredevil</t>
  </si>
  <si>
    <t>S097</t>
  </si>
  <si>
    <t>S098</t>
  </si>
  <si>
    <t>16-08-2026</t>
  </si>
  <si>
    <t>S099</t>
  </si>
  <si>
    <t>S100</t>
  </si>
  <si>
    <t>Episodes per Season</t>
  </si>
  <si>
    <t>Rating Category</t>
  </si>
  <si>
    <t>Watch Time Category</t>
  </si>
  <si>
    <t>Series Length</t>
  </si>
  <si>
    <t>Ongoing Series</t>
  </si>
  <si>
    <t>Completed Series</t>
  </si>
  <si>
    <t>Total Series</t>
  </si>
  <si>
    <t>Average Rating</t>
  </si>
  <si>
    <t>Total Watch Time</t>
  </si>
  <si>
    <t>KPI</t>
  </si>
  <si>
    <t>Value</t>
  </si>
  <si>
    <t>Row Labels</t>
  </si>
  <si>
    <t>(blank)</t>
  </si>
  <si>
    <t>Grand Total</t>
  </si>
  <si>
    <t>Sum of Watch Time (Hours)</t>
  </si>
  <si>
    <t>Count of Series ID</t>
  </si>
  <si>
    <t>Avg</t>
  </si>
  <si>
    <t>Excellent</t>
  </si>
  <si>
    <t>Good</t>
  </si>
  <si>
    <t>Low</t>
  </si>
  <si>
    <t>Watch Month</t>
  </si>
  <si>
    <t>Apr</t>
  </si>
  <si>
    <t>Aug</t>
  </si>
  <si>
    <t>Dec</t>
  </si>
  <si>
    <t>Feb</t>
  </si>
  <si>
    <t>Jan</t>
  </si>
  <si>
    <t>Jul</t>
  </si>
  <si>
    <t>Jun</t>
  </si>
  <si>
    <t>Mar</t>
  </si>
  <si>
    <t>May</t>
  </si>
  <si>
    <t>Oct</t>
  </si>
  <si>
    <r>
      <rPr>
        <b/>
        <sz val="11"/>
        <color theme="1"/>
        <rFont val="Calibri"/>
        <family val="2"/>
        <scheme val="minor"/>
      </rPr>
      <t>AVERAGE RATING</t>
    </r>
    <r>
      <rPr>
        <sz val="11"/>
        <color theme="1"/>
        <rFont val="Calibri"/>
        <family val="2"/>
        <scheme val="minor"/>
      </rPr>
      <t xml:space="preserve">
8.2
/ 10</t>
    </r>
  </si>
  <si>
    <r>
      <rPr>
        <b/>
        <sz val="11"/>
        <color theme="1"/>
        <rFont val="Calibri"/>
        <family val="2"/>
        <scheme val="minor"/>
      </rPr>
      <t>SERIES WATCHED</t>
    </r>
    <r>
      <rPr>
        <sz val="11"/>
        <color theme="1"/>
        <rFont val="Calibri"/>
        <family val="2"/>
        <scheme val="minor"/>
      </rPr>
      <t xml:space="preserve">
100
SERIES</t>
    </r>
  </si>
  <si>
    <r>
      <rPr>
        <b/>
        <sz val="11"/>
        <color theme="1"/>
        <rFont val="Calibri"/>
        <family val="2"/>
        <scheme val="minor"/>
      </rPr>
      <t>COMPLETED SERIES</t>
    </r>
    <r>
      <rPr>
        <sz val="11"/>
        <color theme="1"/>
        <rFont val="Calibri"/>
        <family val="2"/>
        <scheme val="minor"/>
      </rPr>
      <t xml:space="preserve">
85
COMPLETED</t>
    </r>
  </si>
  <si>
    <r>
      <t xml:space="preserve">TOTAL WATCH TIME
</t>
    </r>
    <r>
      <rPr>
        <sz val="11"/>
        <color theme="1"/>
        <rFont val="Calibri"/>
        <family val="2"/>
        <scheme val="minor"/>
      </rPr>
      <t>2665
HOURS</t>
    </r>
  </si>
  <si>
    <r>
      <rPr>
        <b/>
        <sz val="20"/>
        <color rgb="FFFF0000"/>
        <rFont val="Calibri"/>
        <family val="2"/>
        <scheme val="minor"/>
      </rPr>
      <t xml:space="preserve">              NETFLIX</t>
    </r>
    <r>
      <rPr>
        <b/>
        <sz val="20"/>
        <color theme="1"/>
        <rFont val="Calibri"/>
        <family val="2"/>
        <scheme val="minor"/>
      </rPr>
      <t xml:space="preserve"> </t>
    </r>
    <r>
      <rPr>
        <b/>
        <sz val="20"/>
        <color rgb="FFFF0000"/>
        <rFont val="Calibri"/>
        <family val="2"/>
        <scheme val="minor"/>
      </rPr>
      <t>SERIES TRACKER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</si>
</sst>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0;[Red]0"/>
  </numFmts>
  <fonts count="5" x14ac:knownFonts="1">
    <font>
      <sz val="11"/>
      <color theme="1"/>
      <name val="Calibri"/>
      <family val="2"/>
      <scheme val="minor"/>
    </font>
    <font>
      <sz val="11"/>
      <color theme="0"/>
      <name val="Calibri"/>
      <family val="2"/>
      <scheme val="minor"/>
    </font>
    <font>
      <b/>
      <sz val="11"/>
      <color theme="1"/>
      <name val="Calibri"/>
      <family val="2"/>
      <scheme val="minor"/>
    </font>
    <font>
      <b/>
      <sz val="20"/>
      <color theme="1"/>
      <name val="Calibri"/>
      <family val="2"/>
      <scheme val="minor"/>
    </font>
    <font>
      <b/>
      <sz val="20"/>
      <color rgb="FFFF0000"/>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40">
    <xf numFmtId="0" fontId="0" fillId="0" borderId="0" xfId="0"/>
    <xf numFmtId="164" fontId="0" fillId="0" borderId="0" xfId="0" applyNumberFormat="1"/>
    <xf numFmtId="165" fontId="0" fillId="0" borderId="0" xfId="0" applyNumberFormat="1"/>
    <xf numFmtId="0" fontId="0" fillId="0" borderId="1" xfId="0" applyBorder="1"/>
    <xf numFmtId="164" fontId="0" fillId="0" borderId="1" xfId="0" applyNumberFormat="1" applyBorder="1"/>
    <xf numFmtId="165" fontId="0" fillId="0" borderId="1" xfId="0" applyNumberFormat="1" applyBorder="1"/>
    <xf numFmtId="166" fontId="0" fillId="0" borderId="0" xfId="0" applyNumberFormat="1"/>
    <xf numFmtId="166" fontId="0" fillId="0" borderId="1" xfId="0" applyNumberFormat="1" applyBorder="1"/>
    <xf numFmtId="166" fontId="1" fillId="0" borderId="0" xfId="0" applyNumberFormat="1" applyFont="1"/>
    <xf numFmtId="0" fontId="0" fillId="0" borderId="1" xfId="0" applyBorder="1" applyAlignment="1">
      <alignment horizontal="left"/>
    </xf>
    <xf numFmtId="0" fontId="0" fillId="0" borderId="4" xfId="0" applyBorder="1" applyAlignment="1">
      <alignment vertical="center" wrapText="1"/>
    </xf>
    <xf numFmtId="0" fontId="0" fillId="0" borderId="6" xfId="0" applyBorder="1" applyAlignment="1">
      <alignment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0" fillId="0" borderId="5" xfId="0" applyNumberFormat="1" applyBorder="1" applyAlignment="1">
      <alignment vertical="center" wrapText="1"/>
    </xf>
    <xf numFmtId="0" fontId="0" fillId="0" borderId="0" xfId="0" pivotButton="1"/>
    <xf numFmtId="0" fontId="0" fillId="0" borderId="0" xfId="0" applyAlignment="1">
      <alignment horizontal="left"/>
    </xf>
    <xf numFmtId="0" fontId="2" fillId="0" borderId="0" xfId="0" applyFont="1"/>
    <xf numFmtId="0" fontId="0" fillId="0" borderId="0" xfId="0" applyAlignment="1">
      <alignment wrapText="1"/>
    </xf>
    <xf numFmtId="0" fontId="3"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2" fillId="3" borderId="7" xfId="0" applyFont="1" applyFill="1" applyBorder="1" applyAlignment="1">
      <alignment horizontal="center" wrapText="1"/>
    </xf>
    <xf numFmtId="0" fontId="2" fillId="3" borderId="11" xfId="0" applyFont="1" applyFill="1" applyBorder="1" applyAlignment="1">
      <alignment horizontal="center" wrapText="1"/>
    </xf>
    <xf numFmtId="0" fontId="2" fillId="3" borderId="6" xfId="0" applyFont="1" applyFill="1" applyBorder="1" applyAlignment="1">
      <alignment horizontal="center" wrapText="1"/>
    </xf>
    <xf numFmtId="0" fontId="2" fillId="3" borderId="8" xfId="0" applyFont="1" applyFill="1" applyBorder="1" applyAlignment="1">
      <alignment horizontal="center" wrapText="1"/>
    </xf>
    <xf numFmtId="0" fontId="2" fillId="3" borderId="0" xfId="0" applyFont="1" applyFill="1" applyAlignment="1">
      <alignment horizontal="center" wrapText="1"/>
    </xf>
    <xf numFmtId="0" fontId="2" fillId="3" borderId="9" xfId="0" applyFont="1" applyFill="1" applyBorder="1" applyAlignment="1">
      <alignment horizontal="center" wrapText="1"/>
    </xf>
    <xf numFmtId="0" fontId="2" fillId="3" borderId="3" xfId="0" applyFont="1" applyFill="1" applyBorder="1" applyAlignment="1">
      <alignment horizontal="center" wrapText="1"/>
    </xf>
    <xf numFmtId="0" fontId="2" fillId="3" borderId="10" xfId="0" applyFont="1" applyFill="1" applyBorder="1" applyAlignment="1">
      <alignment horizontal="center" wrapText="1"/>
    </xf>
    <xf numFmtId="0" fontId="2" fillId="3" borderId="2" xfId="0" applyFont="1" applyFill="1" applyBorder="1" applyAlignment="1">
      <alignment horizontal="center" wrapText="1"/>
    </xf>
    <xf numFmtId="0" fontId="0" fillId="3" borderId="7" xfId="0" applyFill="1" applyBorder="1" applyAlignment="1">
      <alignment horizontal="center" wrapText="1"/>
    </xf>
    <xf numFmtId="0" fontId="0" fillId="3" borderId="11" xfId="0" applyFill="1" applyBorder="1" applyAlignment="1">
      <alignment horizontal="center" wrapText="1"/>
    </xf>
    <xf numFmtId="0" fontId="0" fillId="3" borderId="6" xfId="0" applyFill="1" applyBorder="1" applyAlignment="1">
      <alignment horizontal="center" wrapText="1"/>
    </xf>
    <xf numFmtId="0" fontId="0" fillId="3" borderId="8" xfId="0" applyFill="1" applyBorder="1" applyAlignment="1">
      <alignment horizontal="center" wrapText="1"/>
    </xf>
    <xf numFmtId="0" fontId="0" fillId="3" borderId="0" xfId="0" applyFill="1" applyAlignment="1">
      <alignment horizontal="center" wrapText="1"/>
    </xf>
    <xf numFmtId="0" fontId="0" fillId="3" borderId="9" xfId="0" applyFill="1" applyBorder="1" applyAlignment="1">
      <alignment horizontal="center" wrapText="1"/>
    </xf>
    <xf numFmtId="0" fontId="0" fillId="3" borderId="3" xfId="0" applyFill="1" applyBorder="1" applyAlignment="1">
      <alignment horizontal="center" wrapText="1"/>
    </xf>
    <xf numFmtId="0" fontId="0" fillId="3" borderId="10" xfId="0" applyFill="1" applyBorder="1" applyAlignment="1">
      <alignment horizontal="center" wrapText="1"/>
    </xf>
    <xf numFmtId="0" fontId="0" fillId="3" borderId="2" xfId="0" applyFill="1" applyBorder="1" applyAlignment="1">
      <alignment horizontal="center" wrapText="1"/>
    </xf>
  </cellXfs>
  <cellStyles count="1">
    <cellStyle name="Normal" xfId="0" builtinId="0"/>
  </cellStyles>
  <dxfs count="16">
    <dxf>
      <numFmt numFmtId="164" formatCode="0.0"/>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66" formatCode="0;[Red]0"/>
    </dxf>
    <dxf>
      <numFmt numFmtId="164" formatCode="0.0"/>
    </dxf>
    <dxf>
      <numFmt numFmtId="165" formatCode="yyyy\-mm\-dd;@"/>
    </dxf>
    <dxf>
      <numFmt numFmtId="165" formatCode="yyyy\-mm\-dd;@"/>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Table" Target="pivotTables/pivotTabl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SERIES TRACKER (1).xlsx]Sheet8!PivotTable7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Watch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Jan</c:v>
                </c:pt>
                <c:pt idx="1">
                  <c:v>Feb</c:v>
                </c:pt>
                <c:pt idx="2">
                  <c:v>Mar</c:v>
                </c:pt>
                <c:pt idx="3">
                  <c:v>Apr</c:v>
                </c:pt>
                <c:pt idx="4">
                  <c:v>May</c:v>
                </c:pt>
                <c:pt idx="5">
                  <c:v>Jun</c:v>
                </c:pt>
                <c:pt idx="6">
                  <c:v>Jul</c:v>
                </c:pt>
                <c:pt idx="7">
                  <c:v>Aug</c:v>
                </c:pt>
                <c:pt idx="8">
                  <c:v>Oct</c:v>
                </c:pt>
                <c:pt idx="9">
                  <c:v>Dec</c:v>
                </c:pt>
              </c:strCache>
            </c:strRef>
          </c:cat>
          <c:val>
            <c:numRef>
              <c:f>Sheet8!$B$4:$B$14</c:f>
              <c:numCache>
                <c:formatCode>General</c:formatCode>
                <c:ptCount val="10"/>
                <c:pt idx="0">
                  <c:v>848</c:v>
                </c:pt>
                <c:pt idx="1">
                  <c:v>215.5</c:v>
                </c:pt>
                <c:pt idx="2">
                  <c:v>57</c:v>
                </c:pt>
                <c:pt idx="3">
                  <c:v>75</c:v>
                </c:pt>
                <c:pt idx="4">
                  <c:v>894.5</c:v>
                </c:pt>
                <c:pt idx="5">
                  <c:v>38</c:v>
                </c:pt>
                <c:pt idx="6">
                  <c:v>24</c:v>
                </c:pt>
                <c:pt idx="7">
                  <c:v>40</c:v>
                </c:pt>
                <c:pt idx="8">
                  <c:v>449</c:v>
                </c:pt>
                <c:pt idx="9">
                  <c:v>24</c:v>
                </c:pt>
              </c:numCache>
            </c:numRef>
          </c:val>
          <c:extLst>
            <c:ext xmlns:c16="http://schemas.microsoft.com/office/drawing/2014/chart" uri="{C3380CC4-5D6E-409C-BE32-E72D297353CC}">
              <c16:uniqueId val="{00000000-ABCF-47A3-A5D1-0758487A92B0}"/>
            </c:ext>
          </c:extLst>
        </c:ser>
        <c:dLbls>
          <c:showLegendKey val="0"/>
          <c:showVal val="0"/>
          <c:showCatName val="0"/>
          <c:showSerName val="0"/>
          <c:showPercent val="0"/>
          <c:showBubbleSize val="0"/>
        </c:dLbls>
        <c:gapWidth val="219"/>
        <c:overlap val="-27"/>
        <c:axId val="1188086495"/>
        <c:axId val="1155442415"/>
      </c:barChart>
      <c:catAx>
        <c:axId val="118808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42415"/>
        <c:crosses val="autoZero"/>
        <c:auto val="1"/>
        <c:lblAlgn val="ctr"/>
        <c:lblOffset val="100"/>
        <c:noMultiLvlLbl val="0"/>
      </c:catAx>
      <c:valAx>
        <c:axId val="115544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08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1188741279"/>
        <c:axId val="1155365615"/>
      </c:barChart>
      <c:catAx>
        <c:axId val="11887412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65615"/>
        <c:crosses val="autoZero"/>
        <c:auto val="1"/>
        <c:lblAlgn val="ctr"/>
        <c:lblOffset val="100"/>
        <c:noMultiLvlLbl val="0"/>
      </c:catAx>
      <c:valAx>
        <c:axId val="115536561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4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[NETFLIX SERIES TRACKER (1).xlsx]PivotChartTable1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SERIES TRACKER (1).xlsx]P-3!PivotTable3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04395537360678"/>
          <c:y val="0.20174157580911006"/>
          <c:w val="0.58237685914260717"/>
          <c:h val="0.6293157626130067"/>
        </c:manualLayout>
      </c:layout>
      <c:barChart>
        <c:barDir val="bar"/>
        <c:grouping val="clustered"/>
        <c:varyColors val="0"/>
        <c:ser>
          <c:idx val="0"/>
          <c:order val="0"/>
          <c:tx>
            <c:strRef>
              <c:f>'P-3'!$B$3</c:f>
              <c:strCache>
                <c:ptCount val="1"/>
                <c:pt idx="0">
                  <c:v>Total</c:v>
                </c:pt>
              </c:strCache>
            </c:strRef>
          </c:tx>
          <c:spPr>
            <a:solidFill>
              <a:schemeClr val="accent1"/>
            </a:solidFill>
            <a:ln>
              <a:noFill/>
            </a:ln>
            <a:effectLst/>
          </c:spPr>
          <c:invertIfNegative val="0"/>
          <c:cat>
            <c:strRef>
              <c:f>'P-3'!$A$4:$A$9</c:f>
              <c:strCache>
                <c:ptCount val="5"/>
                <c:pt idx="0">
                  <c:v>Avg</c:v>
                </c:pt>
                <c:pt idx="1">
                  <c:v>Excellent</c:v>
                </c:pt>
                <c:pt idx="2">
                  <c:v>Good</c:v>
                </c:pt>
                <c:pt idx="3">
                  <c:v>Low</c:v>
                </c:pt>
                <c:pt idx="4">
                  <c:v>(blank)</c:v>
                </c:pt>
              </c:strCache>
            </c:strRef>
          </c:cat>
          <c:val>
            <c:numRef>
              <c:f>'P-3'!$B$4:$B$9</c:f>
              <c:numCache>
                <c:formatCode>General</c:formatCode>
                <c:ptCount val="5"/>
                <c:pt idx="0">
                  <c:v>25</c:v>
                </c:pt>
                <c:pt idx="1">
                  <c:v>7</c:v>
                </c:pt>
                <c:pt idx="2">
                  <c:v>66</c:v>
                </c:pt>
                <c:pt idx="3">
                  <c:v>2</c:v>
                </c:pt>
              </c:numCache>
            </c:numRef>
          </c:val>
          <c:extLst>
            <c:ext xmlns:c16="http://schemas.microsoft.com/office/drawing/2014/chart" uri="{C3380CC4-5D6E-409C-BE32-E72D297353CC}">
              <c16:uniqueId val="{00000000-46E2-4DC1-A88E-D34D20BA4F10}"/>
            </c:ext>
          </c:extLst>
        </c:ser>
        <c:dLbls>
          <c:showLegendKey val="0"/>
          <c:showVal val="0"/>
          <c:showCatName val="0"/>
          <c:showSerName val="0"/>
          <c:showPercent val="0"/>
          <c:showBubbleSize val="0"/>
        </c:dLbls>
        <c:gapWidth val="182"/>
        <c:axId val="1021306303"/>
        <c:axId val="1155404975"/>
      </c:barChart>
      <c:catAx>
        <c:axId val="102130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04975"/>
        <c:crosses val="autoZero"/>
        <c:auto val="1"/>
        <c:lblAlgn val="ctr"/>
        <c:lblOffset val="100"/>
        <c:noMultiLvlLbl val="0"/>
      </c:catAx>
      <c:valAx>
        <c:axId val="115540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0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SERIES TRACKER (1).xlsx]P-5!PivotTable4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Series Status</a:t>
            </a:r>
          </a:p>
        </c:rich>
      </c:tx>
      <c:layout>
        <c:manualLayout>
          <c:xMode val="edge"/>
          <c:yMode val="edge"/>
          <c:x val="0.35895889411587134"/>
          <c:y val="0.13683401039838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0011697818922795"/>
          <c:y val="0.31777880869986791"/>
          <c:w val="0.32090115133371905"/>
          <c:h val="0.63975834628951633"/>
        </c:manualLayout>
      </c:layout>
      <c:doughnutChart>
        <c:varyColors val="1"/>
        <c:ser>
          <c:idx val="0"/>
          <c:order val="0"/>
          <c:tx>
            <c:strRef>
              <c:f>'P-5'!$B$3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79-4A67-BDB7-55FEEB0E39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79-4A67-BDB7-55FEEB0E39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DF-4924-953A-C7B8C9E8C471}"/>
              </c:ext>
            </c:extLst>
          </c:dPt>
          <c:cat>
            <c:strRef>
              <c:f>'P-5'!$A$4:$A$7</c:f>
              <c:strCache>
                <c:ptCount val="3"/>
                <c:pt idx="0">
                  <c:v>Completed</c:v>
                </c:pt>
                <c:pt idx="1">
                  <c:v>Ongoing</c:v>
                </c:pt>
                <c:pt idx="2">
                  <c:v>(blank)</c:v>
                </c:pt>
              </c:strCache>
            </c:strRef>
          </c:cat>
          <c:val>
            <c:numRef>
              <c:f>'P-5'!$B$4:$B$7</c:f>
              <c:numCache>
                <c:formatCode>General</c:formatCode>
                <c:ptCount val="3"/>
                <c:pt idx="0">
                  <c:v>85</c:v>
                </c:pt>
                <c:pt idx="1">
                  <c:v>15</c:v>
                </c:pt>
              </c:numCache>
            </c:numRef>
          </c:val>
          <c:extLst>
            <c:ext xmlns:c16="http://schemas.microsoft.com/office/drawing/2014/chart" uri="{C3380CC4-5D6E-409C-BE32-E72D297353CC}">
              <c16:uniqueId val="{00000004-D779-4A67-BDB7-55FEEB0E39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SERIES TRACKER (1).xlsx]P-4!PivotTable5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Series by Watch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'P-4'!$B$3</c:f>
              <c:strCache>
                <c:ptCount val="1"/>
                <c:pt idx="0">
                  <c:v>Total</c:v>
                </c:pt>
              </c:strCache>
            </c:strRef>
          </c:tx>
          <c:spPr>
            <a:solidFill>
              <a:schemeClr val="accent1"/>
            </a:solidFill>
            <a:ln>
              <a:noFill/>
            </a:ln>
            <a:effectLst/>
          </c:spPr>
          <c:invertIfNegative val="0"/>
          <c:cat>
            <c:strRef>
              <c:f>'P-4'!$A$4:$A$15</c:f>
              <c:strCache>
                <c:ptCount val="11"/>
                <c:pt idx="0">
                  <c:v>Brooklyn Nine-Nine</c:v>
                </c:pt>
                <c:pt idx="1">
                  <c:v>Fear the Walking Dead</c:v>
                </c:pt>
                <c:pt idx="2">
                  <c:v>Friends</c:v>
                </c:pt>
                <c:pt idx="3">
                  <c:v>House M.D.</c:v>
                </c:pt>
                <c:pt idx="4">
                  <c:v>How I Met Your Mother</c:v>
                </c:pt>
                <c:pt idx="5">
                  <c:v>Modern Family</c:v>
                </c:pt>
                <c:pt idx="6">
                  <c:v>Naruto</c:v>
                </c:pt>
                <c:pt idx="7">
                  <c:v>Suits</c:v>
                </c:pt>
                <c:pt idx="8">
                  <c:v>The Flash</c:v>
                </c:pt>
                <c:pt idx="9">
                  <c:v>The Office</c:v>
                </c:pt>
                <c:pt idx="10">
                  <c:v>The Walking Dead</c:v>
                </c:pt>
              </c:strCache>
            </c:strRef>
          </c:cat>
          <c:val>
            <c:numRef>
              <c:f>'P-4'!$B$4:$B$15</c:f>
              <c:numCache>
                <c:formatCode>General</c:formatCode>
                <c:ptCount val="11"/>
                <c:pt idx="0">
                  <c:v>52</c:v>
                </c:pt>
                <c:pt idx="1">
                  <c:v>55</c:v>
                </c:pt>
                <c:pt idx="2">
                  <c:v>70</c:v>
                </c:pt>
                <c:pt idx="3">
                  <c:v>52</c:v>
                </c:pt>
                <c:pt idx="4">
                  <c:v>62</c:v>
                </c:pt>
                <c:pt idx="5">
                  <c:v>72</c:v>
                </c:pt>
                <c:pt idx="6">
                  <c:v>80</c:v>
                </c:pt>
                <c:pt idx="7">
                  <c:v>55</c:v>
                </c:pt>
                <c:pt idx="8">
                  <c:v>58</c:v>
                </c:pt>
                <c:pt idx="9">
                  <c:v>66</c:v>
                </c:pt>
                <c:pt idx="10">
                  <c:v>75</c:v>
                </c:pt>
              </c:numCache>
            </c:numRef>
          </c:val>
          <c:extLst>
            <c:ext xmlns:c16="http://schemas.microsoft.com/office/drawing/2014/chart" uri="{C3380CC4-5D6E-409C-BE32-E72D297353CC}">
              <c16:uniqueId val="{00000000-742E-4C66-A867-7549E4BC8D6C}"/>
            </c:ext>
          </c:extLst>
        </c:ser>
        <c:dLbls>
          <c:showLegendKey val="0"/>
          <c:showVal val="0"/>
          <c:showCatName val="0"/>
          <c:showSerName val="0"/>
          <c:showPercent val="0"/>
          <c:showBubbleSize val="0"/>
        </c:dLbls>
        <c:gapWidth val="182"/>
        <c:axId val="1176471471"/>
        <c:axId val="1155417455"/>
      </c:barChart>
      <c:catAx>
        <c:axId val="117647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17455"/>
        <c:crosses val="autoZero"/>
        <c:auto val="1"/>
        <c:lblAlgn val="ctr"/>
        <c:lblOffset val="100"/>
        <c:noMultiLvlLbl val="0"/>
      </c:catAx>
      <c:valAx>
        <c:axId val="115541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SERIES TRACKER (1).xlsx]Sheet9!PivotTable8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Watch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Sheet9!$A$4:$A$14</c:f>
              <c:strCache>
                <c:ptCount val="10"/>
                <c:pt idx="0">
                  <c:v>Dec</c:v>
                </c:pt>
                <c:pt idx="1">
                  <c:v>Oct</c:v>
                </c:pt>
                <c:pt idx="2">
                  <c:v>Aug</c:v>
                </c:pt>
                <c:pt idx="3">
                  <c:v>Jul</c:v>
                </c:pt>
                <c:pt idx="4">
                  <c:v>Jun</c:v>
                </c:pt>
                <c:pt idx="5">
                  <c:v>May</c:v>
                </c:pt>
                <c:pt idx="6">
                  <c:v>Apr</c:v>
                </c:pt>
                <c:pt idx="7">
                  <c:v>Mar</c:v>
                </c:pt>
                <c:pt idx="8">
                  <c:v>Feb</c:v>
                </c:pt>
                <c:pt idx="9">
                  <c:v>Jan</c:v>
                </c:pt>
              </c:strCache>
            </c:strRef>
          </c:cat>
          <c:val>
            <c:numRef>
              <c:f>Sheet9!$B$4:$B$14</c:f>
              <c:numCache>
                <c:formatCode>General</c:formatCode>
                <c:ptCount val="10"/>
                <c:pt idx="0">
                  <c:v>24</c:v>
                </c:pt>
                <c:pt idx="1">
                  <c:v>449</c:v>
                </c:pt>
                <c:pt idx="2">
                  <c:v>40</c:v>
                </c:pt>
                <c:pt idx="3">
                  <c:v>24</c:v>
                </c:pt>
                <c:pt idx="4">
                  <c:v>38</c:v>
                </c:pt>
                <c:pt idx="5">
                  <c:v>894.5</c:v>
                </c:pt>
                <c:pt idx="6">
                  <c:v>75</c:v>
                </c:pt>
                <c:pt idx="7">
                  <c:v>57</c:v>
                </c:pt>
                <c:pt idx="8">
                  <c:v>215.5</c:v>
                </c:pt>
                <c:pt idx="9">
                  <c:v>848</c:v>
                </c:pt>
              </c:numCache>
            </c:numRef>
          </c:val>
          <c:extLst>
            <c:ext xmlns:c16="http://schemas.microsoft.com/office/drawing/2014/chart" uri="{C3380CC4-5D6E-409C-BE32-E72D297353CC}">
              <c16:uniqueId val="{00000000-A6E4-4488-A1CE-5D137CAC937C}"/>
            </c:ext>
          </c:extLst>
        </c:ser>
        <c:dLbls>
          <c:showLegendKey val="0"/>
          <c:showVal val="0"/>
          <c:showCatName val="0"/>
          <c:showSerName val="0"/>
          <c:showPercent val="0"/>
          <c:showBubbleSize val="0"/>
        </c:dLbls>
        <c:gapWidth val="182"/>
        <c:axId val="1176496527"/>
        <c:axId val="1155410255"/>
      </c:barChart>
      <c:catAx>
        <c:axId val="117649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10255"/>
        <c:crosses val="autoZero"/>
        <c:auto val="1"/>
        <c:lblAlgn val="ctr"/>
        <c:lblOffset val="100"/>
        <c:noMultiLvlLbl val="0"/>
      </c:catAx>
      <c:valAx>
        <c:axId val="1155410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SERIES TRACKER (1).xlsx]P-1!PivotTable1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Watch Time by Genre</a:t>
            </a:r>
          </a:p>
        </c:rich>
      </c:tx>
      <c:layout>
        <c:manualLayout>
          <c:xMode val="edge"/>
          <c:yMode val="edge"/>
          <c:x val="1.7500000000000003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cat>
            <c:strRef>
              <c:f>'P-1'!$A$4:$A$17</c:f>
              <c:strCache>
                <c:ptCount val="13"/>
                <c:pt idx="0">
                  <c:v>Action</c:v>
                </c:pt>
                <c:pt idx="1">
                  <c:v>Adventure</c:v>
                </c:pt>
                <c:pt idx="2">
                  <c:v>Animation</c:v>
                </c:pt>
                <c:pt idx="3">
                  <c:v>Comedy</c:v>
                </c:pt>
                <c:pt idx="4">
                  <c:v>Crime</c:v>
                </c:pt>
                <c:pt idx="5">
                  <c:v>Drama</c:v>
                </c:pt>
                <c:pt idx="6">
                  <c:v>Fantasy</c:v>
                </c:pt>
                <c:pt idx="7">
                  <c:v>Horror</c:v>
                </c:pt>
                <c:pt idx="8">
                  <c:v>Mystery</c:v>
                </c:pt>
                <c:pt idx="9">
                  <c:v>Romance</c:v>
                </c:pt>
                <c:pt idx="10">
                  <c:v>Sci-Fi</c:v>
                </c:pt>
                <c:pt idx="11">
                  <c:v>Thriller</c:v>
                </c:pt>
                <c:pt idx="12">
                  <c:v>(blank)</c:v>
                </c:pt>
              </c:strCache>
            </c:strRef>
          </c:cat>
          <c:val>
            <c:numRef>
              <c:f>'P-1'!$B$4:$B$17</c:f>
              <c:numCache>
                <c:formatCode>General</c:formatCode>
                <c:ptCount val="13"/>
                <c:pt idx="0">
                  <c:v>244</c:v>
                </c:pt>
                <c:pt idx="1">
                  <c:v>37.5</c:v>
                </c:pt>
                <c:pt idx="2">
                  <c:v>330.5</c:v>
                </c:pt>
                <c:pt idx="3">
                  <c:v>414.5</c:v>
                </c:pt>
                <c:pt idx="4">
                  <c:v>266</c:v>
                </c:pt>
                <c:pt idx="5">
                  <c:v>318</c:v>
                </c:pt>
                <c:pt idx="6">
                  <c:v>197</c:v>
                </c:pt>
                <c:pt idx="7">
                  <c:v>238</c:v>
                </c:pt>
                <c:pt idx="8">
                  <c:v>100.5</c:v>
                </c:pt>
                <c:pt idx="9">
                  <c:v>85</c:v>
                </c:pt>
                <c:pt idx="10">
                  <c:v>302.5</c:v>
                </c:pt>
                <c:pt idx="11">
                  <c:v>131.5</c:v>
                </c:pt>
              </c:numCache>
            </c:numRef>
          </c:val>
          <c:extLst>
            <c:ext xmlns:c16="http://schemas.microsoft.com/office/drawing/2014/chart" uri="{C3380CC4-5D6E-409C-BE32-E72D297353CC}">
              <c16:uniqueId val="{00000000-DDDE-4E08-B6B3-F89E7D11F9BE}"/>
            </c:ext>
          </c:extLst>
        </c:ser>
        <c:dLbls>
          <c:showLegendKey val="0"/>
          <c:showVal val="0"/>
          <c:showCatName val="0"/>
          <c:showSerName val="0"/>
          <c:showPercent val="0"/>
          <c:showBubbleSize val="0"/>
        </c:dLbls>
        <c:gapWidth val="219"/>
        <c:overlap val="-27"/>
        <c:axId val="1188727823"/>
        <c:axId val="1155458735"/>
      </c:barChart>
      <c:catAx>
        <c:axId val="11887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58735"/>
        <c:crosses val="autoZero"/>
        <c:auto val="1"/>
        <c:lblAlgn val="ctr"/>
        <c:lblOffset val="100"/>
        <c:noMultiLvlLbl val="0"/>
      </c:catAx>
      <c:valAx>
        <c:axId val="115545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571500</xdr:colOff>
      <xdr:row>1</xdr:row>
      <xdr:rowOff>133350</xdr:rowOff>
    </xdr:from>
    <xdr:to>
      <xdr:col>11</xdr:col>
      <xdr:colOff>266700</xdr:colOff>
      <xdr:row>16</xdr:row>
      <xdr:rowOff>133350</xdr:rowOff>
    </xdr:to>
    <xdr:graphicFrame macro="">
      <xdr:nvGraphicFramePr>
        <xdr:cNvPr id="2" name="Chart 1">
          <a:extLst>
            <a:ext uri="{FF2B5EF4-FFF2-40B4-BE49-F238E27FC236}">
              <a16:creationId xmlns:a16="http://schemas.microsoft.com/office/drawing/2014/main" id="{8784F6E4-F985-E6EB-39A5-48EFF31A0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434340</xdr:colOff>
      <xdr:row>6</xdr:row>
      <xdr:rowOff>41910</xdr:rowOff>
    </xdr:from>
    <xdr:to>
      <xdr:col>13</xdr:col>
      <xdr:colOff>129540</xdr:colOff>
      <xdr:row>21</xdr:row>
      <xdr:rowOff>41910</xdr:rowOff>
    </xdr:to>
    <xdr:graphicFrame macro="">
      <xdr:nvGraphicFramePr>
        <xdr:cNvPr id="2" name="Chart 1">
          <a:extLst>
            <a:ext uri="{FF2B5EF4-FFF2-40B4-BE49-F238E27FC236}">
              <a16:creationId xmlns:a16="http://schemas.microsoft.com/office/drawing/2014/main" id="{DEB6B31D-45B2-4CDE-CF19-1328EC6F5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533400</xdr:colOff>
      <xdr:row>5</xdr:row>
      <xdr:rowOff>57892</xdr:rowOff>
    </xdr:from>
    <xdr:to>
      <xdr:col>17</xdr:col>
      <xdr:colOff>366154</xdr:colOff>
      <xdr:row>20</xdr:row>
      <xdr:rowOff>129539</xdr:rowOff>
    </xdr:to>
    <xdr:graphicFrame macro="">
      <xdr:nvGraphicFramePr>
        <xdr:cNvPr id="4" name="Chart 3">
          <a:extLst>
            <a:ext uri="{FF2B5EF4-FFF2-40B4-BE49-F238E27FC236}">
              <a16:creationId xmlns:a16="http://schemas.microsoft.com/office/drawing/2014/main" id="{80409DF5-538B-48BD-8E85-31841D7BD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20</xdr:row>
      <xdr:rowOff>144780</xdr:rowOff>
    </xdr:from>
    <xdr:to>
      <xdr:col>8</xdr:col>
      <xdr:colOff>510540</xdr:colOff>
      <xdr:row>33</xdr:row>
      <xdr:rowOff>160020</xdr:rowOff>
    </xdr:to>
    <xdr:graphicFrame macro="">
      <xdr:nvGraphicFramePr>
        <xdr:cNvPr id="5" name="Chart 4">
          <a:extLst>
            <a:ext uri="{FF2B5EF4-FFF2-40B4-BE49-F238E27FC236}">
              <a16:creationId xmlns:a16="http://schemas.microsoft.com/office/drawing/2014/main" id="{79B1C4F9-BC70-49E7-B5B2-0C4A8A014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548640</xdr:colOff>
      <xdr:row>20</xdr:row>
      <xdr:rowOff>121920</xdr:rowOff>
    </xdr:from>
    <xdr:to>
      <xdr:col>17</xdr:col>
      <xdr:colOff>365760</xdr:colOff>
      <xdr:row>33</xdr:row>
      <xdr:rowOff>121920</xdr:rowOff>
    </xdr:to>
    <xdr:graphicFrame macro="">
      <xdr:nvGraphicFramePr>
        <xdr:cNvPr id="6" name="Chart 5">
          <a:extLst>
            <a:ext uri="{FF2B5EF4-FFF2-40B4-BE49-F238E27FC236}">
              <a16:creationId xmlns:a16="http://schemas.microsoft.com/office/drawing/2014/main" id="{2D605B5E-7EB9-41D5-A280-41E18E893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79168</xdr:colOff>
      <xdr:row>34</xdr:row>
      <xdr:rowOff>12290</xdr:rowOff>
    </xdr:from>
    <xdr:to>
      <xdr:col>17</xdr:col>
      <xdr:colOff>373379</xdr:colOff>
      <xdr:row>48</xdr:row>
      <xdr:rowOff>174523</xdr:rowOff>
    </xdr:to>
    <xdr:graphicFrame macro="">
      <xdr:nvGraphicFramePr>
        <xdr:cNvPr id="7" name="Chart 6">
          <a:extLst>
            <a:ext uri="{FF2B5EF4-FFF2-40B4-BE49-F238E27FC236}">
              <a16:creationId xmlns:a16="http://schemas.microsoft.com/office/drawing/2014/main" id="{7CEF786F-C694-43C1-8A18-D2EBB89CC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207817</xdr:colOff>
      <xdr:row>5</xdr:row>
      <xdr:rowOff>106680</xdr:rowOff>
    </xdr:from>
    <xdr:to>
      <xdr:col>8</xdr:col>
      <xdr:colOff>541020</xdr:colOff>
      <xdr:row>20</xdr:row>
      <xdr:rowOff>120732</xdr:rowOff>
    </xdr:to>
    <xdr:graphicFrame macro="">
      <xdr:nvGraphicFramePr>
        <xdr:cNvPr id="9" name="Chart 8">
          <a:extLst>
            <a:ext uri="{FF2B5EF4-FFF2-40B4-BE49-F238E27FC236}">
              <a16:creationId xmlns:a16="http://schemas.microsoft.com/office/drawing/2014/main" id="{0E2A05B5-38F5-48EE-A6A1-82052878F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5</xdr:row>
      <xdr:rowOff>0</xdr:rowOff>
    </xdr:from>
    <xdr:to>
      <xdr:col>21</xdr:col>
      <xdr:colOff>0</xdr:colOff>
      <xdr:row>24</xdr:row>
      <xdr:rowOff>136467</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F573954A-5B50-4986-B26C-0C136699118E}"/>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972800" y="900545"/>
              <a:ext cx="1828800" cy="3558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26</xdr:row>
      <xdr:rowOff>0</xdr:rowOff>
    </xdr:from>
    <xdr:to>
      <xdr:col>21</xdr:col>
      <xdr:colOff>0</xdr:colOff>
      <xdr:row>31</xdr:row>
      <xdr:rowOff>82434</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057EE981-DC18-4717-935D-2B505C6E635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972800" y="4682836"/>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33</xdr:row>
      <xdr:rowOff>0</xdr:rowOff>
    </xdr:from>
    <xdr:to>
      <xdr:col>21</xdr:col>
      <xdr:colOff>0</xdr:colOff>
      <xdr:row>40</xdr:row>
      <xdr:rowOff>164175</xdr:rowOff>
    </xdr:to>
    <mc:AlternateContent xmlns:mc="http://schemas.openxmlformats.org/markup-compatibility/2006" xmlns:a14="http://schemas.microsoft.com/office/drawing/2010/main">
      <mc:Choice Requires="a14">
        <xdr:graphicFrame macro="">
          <xdr:nvGraphicFramePr>
            <xdr:cNvPr id="12" name="Rating Category">
              <a:extLst>
                <a:ext uri="{FF2B5EF4-FFF2-40B4-BE49-F238E27FC236}">
                  <a16:creationId xmlns:a16="http://schemas.microsoft.com/office/drawing/2014/main" id="{69D07FEC-3995-459F-A1BC-07F94BEAE94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0972800" y="5943600"/>
              <a:ext cx="1828800" cy="142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yas Shaik" refreshedDate="46252.48041527778" createdVersion="8" refreshedVersion="8" minRefreshableVersion="3" recordCount="101" xr:uid="{15CEDFE8-CA2D-47B4-8B33-C81560453E25}">
  <cacheSource type="worksheet">
    <worksheetSource name="Series_Data"/>
  </cacheSource>
  <cacheFields count="14">
    <cacheField name="Series ID" numFmtId="0">
      <sharedItems containsBlank="1" count="101">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m/>
      </sharedItems>
    </cacheField>
    <cacheField name="Series Name" numFmtId="0">
      <sharedItems containsBlank="1" containsMixedTypes="1" containsNumber="1" containsInteger="1" minValue="1899" maxValue="1899" count="91">
        <s v="Stranger Things"/>
        <s v="The Witcher"/>
        <s v="Money Heist"/>
        <s v="The Queen's Gambit"/>
        <s v="Dark"/>
        <s v="Breaking Bad"/>
        <s v="Black Mirror"/>
        <s v="Lucifer"/>
        <s v="Peaky Blinders"/>
        <s v="Squid Game"/>
        <s v="The Boys"/>
        <s v="Wednesday"/>
        <s v="Vikings"/>
        <s v="Loki"/>
        <s v="Arcane"/>
        <s v="Bridgerton"/>
        <s v="The Last of Us"/>
        <s v="House of the Dragon"/>
        <s v="One Piece"/>
        <s v="The Umbrella Academy"/>
        <s v="You"/>
        <s v="Narcos"/>
        <s v="Cobra Kai"/>
        <s v="All of Us Are Dead"/>
        <s v="The Sandman"/>
        <n v="1899"/>
        <s v="The Lincoln Lawyer"/>
        <s v="Manifest"/>
        <s v="Outer Banks"/>
        <s v="The Night Agent"/>
        <s v="Suits"/>
        <s v="Dexter"/>
        <s v="House M.D."/>
        <s v="Lost"/>
        <s v="The 100"/>
        <s v="Teen Wolf"/>
        <s v="The Flash"/>
        <s v="Sherlock"/>
        <s v="Better Call Saul"/>
        <s v="Ozark"/>
        <s v="The Crown"/>
        <s v="Black Summer"/>
        <s v="Sense8"/>
        <s v="Locke &amp; Key"/>
        <s v="Younger"/>
        <s v="Emily in Paris"/>
        <s v="The Recruit"/>
        <s v="Reacher"/>
        <s v="From"/>
        <s v="The Sinner"/>
        <s v="The Rookie"/>
        <s v="Prison Break"/>
        <s v="How I Met Your Mother"/>
        <s v="Friends"/>
        <s v="The Office"/>
        <s v="Modern Family"/>
        <s v="Brooklyn Nine-Nine"/>
        <s v="Community"/>
        <s v="Upload"/>
        <s v="Altered Carbon"/>
        <s v="Travelers"/>
        <s v="The Expanse"/>
        <s v="Foundation"/>
        <s v="Andor"/>
        <s v="Mr. Robot"/>
        <s v="Bodyguard"/>
        <s v="The Fall"/>
        <s v="The Haunting of Hill House"/>
        <s v="Midnight Mass"/>
        <s v="Archive 81"/>
        <s v="The Walking Dead"/>
        <s v="Fear the Walking Dead"/>
        <s v="Kingdom"/>
        <s v="Sweet Home"/>
        <s v="Vincenzo"/>
        <s v="Crash Landing on You"/>
        <s v="Itaewon Class"/>
        <s v="My Name"/>
        <s v="Alchemy of Souls"/>
        <s v="King the Land"/>
        <s v="Mashle"/>
        <s v="Demon Slayer"/>
        <s v="Attack on Titan"/>
        <s v="Jujutsu Kaisen"/>
        <s v="Death Note"/>
        <s v="Naruto"/>
        <s v="One Punch Man"/>
        <s v="Blue Lock"/>
        <s v="Haikyuu"/>
        <s v="Daredevil"/>
        <m/>
      </sharedItems>
    </cacheField>
    <cacheField name="Genre" numFmtId="0">
      <sharedItems containsBlank="1" count="13">
        <s v="Sci-Fi"/>
        <s v="Fantasy"/>
        <s v="Crime"/>
        <s v="Drama"/>
        <s v="Thriller"/>
        <s v="Action"/>
        <s v="Comedy"/>
        <s v="Animation"/>
        <s v="Romance"/>
        <s v="Adventure"/>
        <s v="Horror"/>
        <s v="Mystery"/>
        <m/>
      </sharedItems>
    </cacheField>
    <cacheField name="Seasons" numFmtId="0">
      <sharedItems containsString="0" containsBlank="1" containsNumber="1" containsInteger="1" minValue="1" maxValue="11"/>
    </cacheField>
    <cacheField name="Episodes" numFmtId="0">
      <sharedItems containsString="0" containsBlank="1" containsNumber="1" containsInteger="1" minValue="6" maxValue="250"/>
    </cacheField>
    <cacheField name="Rating" numFmtId="164">
      <sharedItems containsString="0" containsBlank="1" containsNumber="1" minValue="6.5" maxValue="9.5"/>
    </cacheField>
    <cacheField name="Start Date" numFmtId="165">
      <sharedItems containsDate="1" containsBlank="1" containsMixedTypes="1" minDate="2026-01-02T00:00:00" maxDate="2026-12-09T00:00:00"/>
    </cacheField>
    <cacheField name="End Date" numFmtId="165">
      <sharedItems containsDate="1" containsBlank="1" containsMixedTypes="1" minDate="2026-05-03T00:00:00" maxDate="2026-12-09T00:00:00"/>
    </cacheField>
    <cacheField name="Watch Time (Hours)" numFmtId="164">
      <sharedItems containsString="0" containsBlank="1" containsNumber="1" minValue="2.5" maxValue="80"/>
    </cacheField>
    <cacheField name="Status" numFmtId="0">
      <sharedItems containsBlank="1" count="3">
        <s v="Completed"/>
        <s v="Ongoing"/>
        <m/>
      </sharedItems>
    </cacheField>
    <cacheField name="Episodes per Season" numFmtId="166">
      <sharedItems containsString="0" containsBlank="1" containsNumber="1" minValue="3.25" maxValue="44"/>
    </cacheField>
    <cacheField name="Rating Category" numFmtId="0">
      <sharedItems containsBlank="1" count="5">
        <s v="Excellent"/>
        <s v="Good"/>
        <s v="Avg"/>
        <s v="Low"/>
        <m/>
      </sharedItems>
    </cacheField>
    <cacheField name="Watch Time Category" numFmtId="0">
      <sharedItems containsBlank="1"/>
    </cacheField>
    <cacheField name="Series Length" numFmtId="0">
      <sharedItems containsBlank="1"/>
    </cacheField>
  </cacheFields>
  <extLst>
    <ext xmlns:x14="http://schemas.microsoft.com/office/spreadsheetml/2009/9/main" uri="{725AE2AE-9491-48be-B2B4-4EB974FC3084}">
      <x14:pivotCacheDefinition pivotCacheId="17786008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lyas Shaik" refreshedDate="46252.502433912035" backgroundQuery="1" createdVersion="8" refreshedVersion="8" minRefreshableVersion="3" recordCount="0" supportSubquery="1" supportAdvancedDrill="1" xr:uid="{2B08BDAF-AE3B-461E-998A-6B504D13D1C8}">
  <cacheSource type="external" connectionId="1"/>
  <cacheFields count="2">
    <cacheField name="[Series_Data].[Watch Month].[Watch Month]" caption="Watch Month" numFmtId="0" hierarchy="14" level="1">
      <sharedItems count="10">
        <s v="Apr"/>
        <s v="Aug"/>
        <s v="Dec"/>
        <s v="Feb"/>
        <s v="Jan"/>
        <s v="Jul"/>
        <s v="Jun"/>
        <s v="Mar"/>
        <s v="May"/>
        <s v="Oct"/>
      </sharedItems>
    </cacheField>
    <cacheField name="[Measures].[Sum of Watch Time (Hours)]" caption="Sum of Watch Time (Hours)" numFmtId="0" hierarchy="17" level="32767"/>
  </cacheFields>
  <cacheHierarchies count="18">
    <cacheHierarchy uniqueName="[Series_Data].[Series ID]" caption="Series ID" attribute="1" defaultMemberUniqueName="[Series_Data].[Series ID].[All]" allUniqueName="[Series_Data].[Series ID].[All]" dimensionUniqueName="[Series_Data]" displayFolder="" count="0" memberValueDatatype="130" unbalanced="0"/>
    <cacheHierarchy uniqueName="[Series_Data].[Series Name]" caption="Series Name" attribute="1" defaultMemberUniqueName="[Series_Data].[Series Name].[All]" allUniqueName="[Series_Data].[Series Name].[All]" dimensionUniqueName="[Series_Data]" displayFolder="" count="0" memberValueDatatype="130" unbalanced="0"/>
    <cacheHierarchy uniqueName="[Series_Data].[Genre]" caption="Genre" attribute="1" defaultMemberUniqueName="[Series_Data].[Genre].[All]" allUniqueName="[Series_Data].[Genre].[All]" dimensionUniqueName="[Series_Data]" displayFolder="" count="0" memberValueDatatype="130" unbalanced="0"/>
    <cacheHierarchy uniqueName="[Series_Data].[Seasons]" caption="Seasons" attribute="1" defaultMemberUniqueName="[Series_Data].[Seasons].[All]" allUniqueName="[Series_Data].[Seasons].[All]" dimensionUniqueName="[Series_Data]" displayFolder="" count="0" memberValueDatatype="20" unbalanced="0"/>
    <cacheHierarchy uniqueName="[Series_Data].[Episodes]" caption="Episodes" attribute="1" defaultMemberUniqueName="[Series_Data].[Episodes].[All]" allUniqueName="[Series_Data].[Episodes].[All]" dimensionUniqueName="[Series_Data]" displayFolder="" count="0" memberValueDatatype="20" unbalanced="0"/>
    <cacheHierarchy uniqueName="[Series_Data].[Rating]" caption="Rating" attribute="1" defaultMemberUniqueName="[Series_Data].[Rating].[All]" allUniqueName="[Series_Data].[Rating].[All]" dimensionUniqueName="[Series_Data]" displayFolder="" count="0" memberValueDatatype="5" unbalanced="0"/>
    <cacheHierarchy uniqueName="[Series_Data].[Start Date]" caption="Start Date" attribute="1" defaultMemberUniqueName="[Series_Data].[Start Date].[All]" allUniqueName="[Series_Data].[Start Date].[All]" dimensionUniqueName="[Series_Data]" displayFolder="" count="0" memberValueDatatype="130" unbalanced="0"/>
    <cacheHierarchy uniqueName="[Series_Data].[End Date]" caption="End Date" attribute="1" defaultMemberUniqueName="[Series_Data].[End Date].[All]" allUniqueName="[Series_Data].[End Date].[All]" dimensionUniqueName="[Series_Data]" displayFolder="" count="0" memberValueDatatype="130" unbalanced="0"/>
    <cacheHierarchy uniqueName="[Series_Data].[Watch Time (Hours)]" caption="Watch Time (Hours)" attribute="1" defaultMemberUniqueName="[Series_Data].[Watch Time (Hours)].[All]" allUniqueName="[Series_Data].[Watch Time (Hours)].[All]" dimensionUniqueName="[Series_Data]" displayFolder="" count="0" memberValueDatatype="5" unbalanced="0"/>
    <cacheHierarchy uniqueName="[Series_Data].[Status]" caption="Status" attribute="1" defaultMemberUniqueName="[Series_Data].[Status].[All]" allUniqueName="[Series_Data].[Status].[All]" dimensionUniqueName="[Series_Data]" displayFolder="" count="0" memberValueDatatype="130" unbalanced="0"/>
    <cacheHierarchy uniqueName="[Series_Data].[Episodes per Season]" caption="Episodes per Season" attribute="1" defaultMemberUniqueName="[Series_Data].[Episodes per Season].[All]" allUniqueName="[Series_Data].[Episodes per Season].[All]" dimensionUniqueName="[Series_Data]" displayFolder="" count="0" memberValueDatatype="5" unbalanced="0"/>
    <cacheHierarchy uniqueName="[Series_Data].[Rating Category]" caption="Rating Category" attribute="1" defaultMemberUniqueName="[Series_Data].[Rating Category].[All]" allUniqueName="[Series_Data].[Rating Category].[All]" dimensionUniqueName="[Series_Data]" displayFolder="" count="0" memberValueDatatype="130" unbalanced="0"/>
    <cacheHierarchy uniqueName="[Series_Data].[Watch Time Category]" caption="Watch Time Category" attribute="1" defaultMemberUniqueName="[Series_Data].[Watch Time Category].[All]" allUniqueName="[Series_Data].[Watch Time Category].[All]" dimensionUniqueName="[Series_Data]" displayFolder="" count="0" memberValueDatatype="130" unbalanced="0"/>
    <cacheHierarchy uniqueName="[Series_Data].[Series Length]" caption="Series Length" attribute="1" defaultMemberUniqueName="[Series_Data].[Series Length].[All]" allUniqueName="[Series_Data].[Series Length].[All]" dimensionUniqueName="[Series_Data]" displayFolder="" count="0" memberValueDatatype="130" unbalanced="0"/>
    <cacheHierarchy uniqueName="[Series_Data].[Watch Month]" caption="Watch Month" attribute="1" defaultMemberUniqueName="[Series_Data].[Watch Month].[All]" allUniqueName="[Series_Data].[Watch Month].[All]" dimensionUniqueName="[Series_Data]" displayFolder="" count="2" memberValueDatatype="130" unbalanced="0">
      <fieldsUsage count="2">
        <fieldUsage x="-1"/>
        <fieldUsage x="0"/>
      </fieldsUsage>
    </cacheHierarchy>
    <cacheHierarchy uniqueName="[Measures].[__XL_Count Series_Data]" caption="__XL_Count Series_Data" measure="1" displayFolder="" measureGroup="Series_Data" count="0" hidden="1"/>
    <cacheHierarchy uniqueName="[Measures].[__No measures defined]" caption="__No measures defined" measure="1" displayFolder="" count="0" hidden="1"/>
    <cacheHierarchy uniqueName="[Measures].[Sum of Watch Time (Hours)]" caption="Sum of Watch Time (Hours)" measure="1" displayFolder="" measureGroup="Series_Data"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eries_Data" uniqueName="[Series_Data]" caption="Series_Data"/>
  </dimensions>
  <measureGroups count="1">
    <measureGroup name="Series_Data" caption="Seri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lyas Shaik" refreshedDate="46252.542001851849" backgroundQuery="1" createdVersion="8" refreshedVersion="8" minRefreshableVersion="3" recordCount="0" supportSubquery="1" supportAdvancedDrill="1" xr:uid="{4A903885-8DCD-4DCB-8D43-1B0B3E671AF0}">
  <cacheSource type="external" connectionId="1"/>
  <cacheFields count="2">
    <cacheField name="[Series_Data].[Watch Month].[Watch Month]" caption="Watch Month" numFmtId="0" hierarchy="14" level="1">
      <sharedItems count="10">
        <s v="Apr"/>
        <s v="Aug"/>
        <s v="Dec"/>
        <s v="Feb"/>
        <s v="Jan"/>
        <s v="Jul"/>
        <s v="Jun"/>
        <s v="Mar"/>
        <s v="May"/>
        <s v="Oct"/>
      </sharedItems>
    </cacheField>
    <cacheField name="[Measures].[Sum of Watch Time (Hours)]" caption="Sum of Watch Time (Hours)" numFmtId="0" hierarchy="17" level="32767"/>
  </cacheFields>
  <cacheHierarchies count="18">
    <cacheHierarchy uniqueName="[Series_Data].[Series ID]" caption="Series ID" attribute="1" defaultMemberUniqueName="[Series_Data].[Series ID].[All]" allUniqueName="[Series_Data].[Series ID].[All]" dimensionUniqueName="[Series_Data]" displayFolder="" count="0" memberValueDatatype="130" unbalanced="0"/>
    <cacheHierarchy uniqueName="[Series_Data].[Series Name]" caption="Series Name" attribute="1" defaultMemberUniqueName="[Series_Data].[Series Name].[All]" allUniqueName="[Series_Data].[Series Name].[All]" dimensionUniqueName="[Series_Data]" displayFolder="" count="0" memberValueDatatype="130" unbalanced="0"/>
    <cacheHierarchy uniqueName="[Series_Data].[Genre]" caption="Genre" attribute="1" defaultMemberUniqueName="[Series_Data].[Genre].[All]" allUniqueName="[Series_Data].[Genre].[All]" dimensionUniqueName="[Series_Data]" displayFolder="" count="0" memberValueDatatype="130" unbalanced="0"/>
    <cacheHierarchy uniqueName="[Series_Data].[Seasons]" caption="Seasons" attribute="1" defaultMemberUniqueName="[Series_Data].[Seasons].[All]" allUniqueName="[Series_Data].[Seasons].[All]" dimensionUniqueName="[Series_Data]" displayFolder="" count="0" memberValueDatatype="20" unbalanced="0"/>
    <cacheHierarchy uniqueName="[Series_Data].[Episodes]" caption="Episodes" attribute="1" defaultMemberUniqueName="[Series_Data].[Episodes].[All]" allUniqueName="[Series_Data].[Episodes].[All]" dimensionUniqueName="[Series_Data]" displayFolder="" count="0" memberValueDatatype="20" unbalanced="0"/>
    <cacheHierarchy uniqueName="[Series_Data].[Rating]" caption="Rating" attribute="1" defaultMemberUniqueName="[Series_Data].[Rating].[All]" allUniqueName="[Series_Data].[Rating].[All]" dimensionUniqueName="[Series_Data]" displayFolder="" count="0" memberValueDatatype="5" unbalanced="0"/>
    <cacheHierarchy uniqueName="[Series_Data].[Start Date]" caption="Start Date" attribute="1" defaultMemberUniqueName="[Series_Data].[Start Date].[All]" allUniqueName="[Series_Data].[Start Date].[All]" dimensionUniqueName="[Series_Data]" displayFolder="" count="0" memberValueDatatype="130" unbalanced="0"/>
    <cacheHierarchy uniqueName="[Series_Data].[End Date]" caption="End Date" attribute="1" defaultMemberUniqueName="[Series_Data].[End Date].[All]" allUniqueName="[Series_Data].[End Date].[All]" dimensionUniqueName="[Series_Data]" displayFolder="" count="0" memberValueDatatype="130" unbalanced="0"/>
    <cacheHierarchy uniqueName="[Series_Data].[Watch Time (Hours)]" caption="Watch Time (Hours)" attribute="1" defaultMemberUniqueName="[Series_Data].[Watch Time (Hours)].[All]" allUniqueName="[Series_Data].[Watch Time (Hours)].[All]" dimensionUniqueName="[Series_Data]" displayFolder="" count="0" memberValueDatatype="5" unbalanced="0"/>
    <cacheHierarchy uniqueName="[Series_Data].[Status]" caption="Status" attribute="1" defaultMemberUniqueName="[Series_Data].[Status].[All]" allUniqueName="[Series_Data].[Status].[All]" dimensionUniqueName="[Series_Data]" displayFolder="" count="0" memberValueDatatype="130" unbalanced="0"/>
    <cacheHierarchy uniqueName="[Series_Data].[Episodes per Season]" caption="Episodes per Season" attribute="1" defaultMemberUniqueName="[Series_Data].[Episodes per Season].[All]" allUniqueName="[Series_Data].[Episodes per Season].[All]" dimensionUniqueName="[Series_Data]" displayFolder="" count="0" memberValueDatatype="5" unbalanced="0"/>
    <cacheHierarchy uniqueName="[Series_Data].[Rating Category]" caption="Rating Category" attribute="1" defaultMemberUniqueName="[Series_Data].[Rating Category].[All]" allUniqueName="[Series_Data].[Rating Category].[All]" dimensionUniqueName="[Series_Data]" displayFolder="" count="0" memberValueDatatype="130" unbalanced="0"/>
    <cacheHierarchy uniqueName="[Series_Data].[Watch Time Category]" caption="Watch Time Category" attribute="1" defaultMemberUniqueName="[Series_Data].[Watch Time Category].[All]" allUniqueName="[Series_Data].[Watch Time Category].[All]" dimensionUniqueName="[Series_Data]" displayFolder="" count="0" memberValueDatatype="130" unbalanced="0"/>
    <cacheHierarchy uniqueName="[Series_Data].[Series Length]" caption="Series Length" attribute="1" defaultMemberUniqueName="[Series_Data].[Series Length].[All]" allUniqueName="[Series_Data].[Series Length].[All]" dimensionUniqueName="[Series_Data]" displayFolder="" count="0" memberValueDatatype="130" unbalanced="0"/>
    <cacheHierarchy uniqueName="[Series_Data].[Watch Month]" caption="Watch Month" attribute="1" defaultMemberUniqueName="[Series_Data].[Watch Month].[All]" allUniqueName="[Series_Data].[Watch Month].[All]" dimensionUniqueName="[Series_Data]" displayFolder="" count="2" memberValueDatatype="130" unbalanced="0">
      <fieldsUsage count="2">
        <fieldUsage x="-1"/>
        <fieldUsage x="0"/>
      </fieldsUsage>
    </cacheHierarchy>
    <cacheHierarchy uniqueName="[Measures].[__XL_Count Series_Data]" caption="__XL_Count Series_Data" measure="1" displayFolder="" measureGroup="Series_Data" count="0" hidden="1"/>
    <cacheHierarchy uniqueName="[Measures].[__No measures defined]" caption="__No measures defined" measure="1" displayFolder="" count="0" hidden="1"/>
    <cacheHierarchy uniqueName="[Measures].[Sum of Watch Time (Hours)]" caption="Sum of Watch Time (Hours)" measure="1" displayFolder="" measureGroup="Series_Data"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eries_Data" uniqueName="[Series_Data]" caption="Series_Data"/>
  </dimensions>
  <measureGroups count="1">
    <measureGroup name="Series_Data" caption="Seri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lyas Shaik" refreshedDate="46252.539944560187" backgroundQuery="1" createdVersion="8" refreshedVersion="8" minRefreshableVersion="3" recordCount="0" supportSubquery="1" supportAdvancedDrill="1" xr:uid="{FB7766C9-7D47-455F-8C69-076629748BBD}">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eries_Data].[Series ID]" caption="Series ID" attribute="1" defaultMemberUniqueName="[Series_Data].[Series ID].[All]" allUniqueName="[Series_Data].[Series ID].[All]" dimensionUniqueName="[Series_Data]" displayFolder="" count="0" memberValueDatatype="130" unbalanced="0"/>
    <cacheHierarchy uniqueName="[Series_Data].[Series Name]" caption="Series Name" attribute="1" defaultMemberUniqueName="[Series_Data].[Series Name].[All]" allUniqueName="[Series_Data].[Series Name].[All]" dimensionUniqueName="[Series_Data]" displayFolder="" count="0" memberValueDatatype="130" unbalanced="0"/>
    <cacheHierarchy uniqueName="[Series_Data].[Genre]" caption="Genre" attribute="1" defaultMemberUniqueName="[Series_Data].[Genre].[All]" allUniqueName="[Series_Data].[Genre].[All]" dimensionUniqueName="[Series_Data]" displayFolder="" count="0" memberValueDatatype="130" unbalanced="0"/>
    <cacheHierarchy uniqueName="[Series_Data].[Seasons]" caption="Seasons" attribute="1" defaultMemberUniqueName="[Series_Data].[Seasons].[All]" allUniqueName="[Series_Data].[Seasons].[All]" dimensionUniqueName="[Series_Data]" displayFolder="" count="0" memberValueDatatype="20" unbalanced="0"/>
    <cacheHierarchy uniqueName="[Series_Data].[Episodes]" caption="Episodes" attribute="1" defaultMemberUniqueName="[Series_Data].[Episodes].[All]" allUniqueName="[Series_Data].[Episodes].[All]" dimensionUniqueName="[Series_Data]" displayFolder="" count="0" memberValueDatatype="20" unbalanced="0"/>
    <cacheHierarchy uniqueName="[Series_Data].[Rating]" caption="Rating" attribute="1" defaultMemberUniqueName="[Series_Data].[Rating].[All]" allUniqueName="[Series_Data].[Rating].[All]" dimensionUniqueName="[Series_Data]" displayFolder="" count="0" memberValueDatatype="5" unbalanced="0"/>
    <cacheHierarchy uniqueName="[Series_Data].[Start Date]" caption="Start Date" attribute="1" defaultMemberUniqueName="[Series_Data].[Start Date].[All]" allUniqueName="[Series_Data].[Start Date].[All]" dimensionUniqueName="[Series_Data]" displayFolder="" count="0" memberValueDatatype="130" unbalanced="0"/>
    <cacheHierarchy uniqueName="[Series_Data].[End Date]" caption="End Date" attribute="1" defaultMemberUniqueName="[Series_Data].[End Date].[All]" allUniqueName="[Series_Data].[End Date].[All]" dimensionUniqueName="[Series_Data]" displayFolder="" count="0" memberValueDatatype="130" unbalanced="0"/>
    <cacheHierarchy uniqueName="[Series_Data].[Watch Time (Hours)]" caption="Watch Time (Hours)" attribute="1" defaultMemberUniqueName="[Series_Data].[Watch Time (Hours)].[All]" allUniqueName="[Series_Data].[Watch Time (Hours)].[All]" dimensionUniqueName="[Series_Data]" displayFolder="" count="0" memberValueDatatype="5" unbalanced="0"/>
    <cacheHierarchy uniqueName="[Series_Data].[Status]" caption="Status" attribute="1" defaultMemberUniqueName="[Series_Data].[Status].[All]" allUniqueName="[Series_Data].[Status].[All]" dimensionUniqueName="[Series_Data]" displayFolder="" count="0" memberValueDatatype="130" unbalanced="0"/>
    <cacheHierarchy uniqueName="[Series_Data].[Episodes per Season]" caption="Episodes per Season" attribute="1" defaultMemberUniqueName="[Series_Data].[Episodes per Season].[All]" allUniqueName="[Series_Data].[Episodes per Season].[All]" dimensionUniqueName="[Series_Data]" displayFolder="" count="0" memberValueDatatype="5" unbalanced="0"/>
    <cacheHierarchy uniqueName="[Series_Data].[Rating Category]" caption="Rating Category" attribute="1" defaultMemberUniqueName="[Series_Data].[Rating Category].[All]" allUniqueName="[Series_Data].[Rating Category].[All]" dimensionUniqueName="[Series_Data]" displayFolder="" count="0" memberValueDatatype="130" unbalanced="0"/>
    <cacheHierarchy uniqueName="[Series_Data].[Watch Time Category]" caption="Watch Time Category" attribute="1" defaultMemberUniqueName="[Series_Data].[Watch Time Category].[All]" allUniqueName="[Series_Data].[Watch Time Category].[All]" dimensionUniqueName="[Series_Data]" displayFolder="" count="0" memberValueDatatype="130" unbalanced="0"/>
    <cacheHierarchy uniqueName="[Series_Data].[Series Length]" caption="Series Length" attribute="1" defaultMemberUniqueName="[Series_Data].[Series Length].[All]" allUniqueName="[Series_Data].[Series Length].[All]" dimensionUniqueName="[Series_Data]" displayFolder="" count="0" memberValueDatatype="130" unbalanced="0"/>
    <cacheHierarchy uniqueName="[Series_Data].[Watch Month]" caption="Watch Month" attribute="1" defaultMemberUniqueName="[Series_Data].[Watch Month].[All]" allUniqueName="[Series_Data].[Watch Month].[All]" dimensionUniqueName="[Series_Data]" displayFolder="" count="0" memberValueDatatype="130" unbalanced="0"/>
    <cacheHierarchy uniqueName="[Measures].[__XL_Count Series_Data]" caption="__XL_Count Series_Data" measure="1" displayFolder="" measureGroup="Series_Data" count="0" hidden="1"/>
    <cacheHierarchy uniqueName="[Measures].[__No measures defined]" caption="__No measures defined" measure="1" displayFolder="" count="0" hidden="1"/>
    <cacheHierarchy uniqueName="[Measures].[Sum of Watch Time (Hours)]" caption="Sum of Watch Time (Hours)" measure="1" displayFolder="" measureGroup="Seri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eries_Data" uniqueName="[Series_Data]" caption="Series_Data"/>
  </dimensions>
  <measureGroups count="1">
    <measureGroup name="Series_Data" caption="Series_Data"/>
  </measureGroups>
  <maps count="1">
    <map measureGroup="0" dimension="1"/>
  </maps>
  <extLst>
    <ext xmlns:x14="http://schemas.microsoft.com/office/spreadsheetml/2009/9/main" uri="{725AE2AE-9491-48be-B2B4-4EB974FC3084}">
      <x14:pivotCacheDefinition pivotCacheId="18055029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n v="4"/>
    <n v="34"/>
    <n v="9.1"/>
    <d v="2026-05-01T00:00:00"/>
    <s v="18-01-2026"/>
    <n v="32.5"/>
    <x v="0"/>
    <n v="8.5"/>
    <x v="0"/>
    <s v="Medium"/>
    <s v="Long"/>
  </r>
  <r>
    <x v="1"/>
    <x v="1"/>
    <x v="1"/>
    <n v="3"/>
    <n v="24"/>
    <n v="8.3000000000000007"/>
    <d v="2026-10-01T00:00:00"/>
    <s v="25-01-2026"/>
    <n v="28"/>
    <x v="0"/>
    <n v="8"/>
    <x v="1"/>
    <s v="Medium"/>
    <s v="Medium"/>
  </r>
  <r>
    <x v="2"/>
    <x v="2"/>
    <x v="2"/>
    <n v="5"/>
    <n v="41"/>
    <n v="8.6999999999999993"/>
    <d v="2026-02-02T00:00:00"/>
    <s v="18-02-2026"/>
    <n v="26"/>
    <x v="0"/>
    <n v="8.1999999999999993"/>
    <x v="1"/>
    <s v="Medium"/>
    <s v="Long"/>
  </r>
  <r>
    <x v="3"/>
    <x v="3"/>
    <x v="3"/>
    <n v="1"/>
    <n v="7"/>
    <n v="8.6"/>
    <s v="20-02-2026"/>
    <s v="25-02-2026"/>
    <n v="10.5"/>
    <x v="0"/>
    <n v="7"/>
    <x v="1"/>
    <s v="Low"/>
    <s v="Low"/>
  </r>
  <r>
    <x v="4"/>
    <x v="4"/>
    <x v="0"/>
    <n v="3"/>
    <n v="26"/>
    <n v="8.8000000000000007"/>
    <d v="2026-01-03T00:00:00"/>
    <s v="15-03-2026"/>
    <n v="29"/>
    <x v="0"/>
    <n v="8.6666666666666661"/>
    <x v="1"/>
    <s v="Medium"/>
    <s v="Medium"/>
  </r>
  <r>
    <x v="5"/>
    <x v="5"/>
    <x v="2"/>
    <n v="5"/>
    <n v="62"/>
    <n v="9.5"/>
    <d v="2026-05-03T00:00:00"/>
    <s v="28-03-2026"/>
    <n v="46"/>
    <x v="0"/>
    <n v="12.4"/>
    <x v="0"/>
    <s v="High"/>
    <s v="Long"/>
  </r>
  <r>
    <x v="6"/>
    <x v="6"/>
    <x v="0"/>
    <n v="6"/>
    <n v="27"/>
    <n v="8.6999999999999993"/>
    <d v="2026-02-04T00:00:00"/>
    <s v="15-04-2026"/>
    <n v="15"/>
    <x v="0"/>
    <n v="4.5"/>
    <x v="1"/>
    <s v="Low"/>
    <s v="Long"/>
  </r>
  <r>
    <x v="7"/>
    <x v="7"/>
    <x v="1"/>
    <n v="6"/>
    <n v="93"/>
    <n v="8.1"/>
    <d v="2026-10-04T00:00:00"/>
    <s v="28-04-2026"/>
    <n v="42"/>
    <x v="0"/>
    <n v="15.5"/>
    <x v="1"/>
    <s v="High"/>
    <s v="Long"/>
  </r>
  <r>
    <x v="8"/>
    <x v="8"/>
    <x v="2"/>
    <n v="6"/>
    <n v="36"/>
    <n v="8.6"/>
    <d v="2026-01-05T00:00:00"/>
    <s v="18-05-2026"/>
    <n v="24"/>
    <x v="0"/>
    <n v="6"/>
    <x v="1"/>
    <s v="Medium"/>
    <s v="Long"/>
  </r>
  <r>
    <x v="9"/>
    <x v="9"/>
    <x v="4"/>
    <n v="2"/>
    <n v="16"/>
    <n v="8"/>
    <d v="2026-05-05T00:00:00"/>
    <s v="15-05-2026"/>
    <n v="13"/>
    <x v="0"/>
    <n v="8"/>
    <x v="1"/>
    <s v="Low"/>
    <s v="Medium"/>
  </r>
  <r>
    <x v="10"/>
    <x v="10"/>
    <x v="5"/>
    <n v="4"/>
    <n v="32"/>
    <n v="8.6999999999999993"/>
    <d v="2026-01-06T00:00:00"/>
    <s v="16-06-2026"/>
    <n v="30"/>
    <x v="0"/>
    <n v="8"/>
    <x v="1"/>
    <s v="Medium"/>
    <s v="Long"/>
  </r>
  <r>
    <x v="11"/>
    <x v="11"/>
    <x v="6"/>
    <n v="1"/>
    <n v="8"/>
    <n v="8"/>
    <d v="2026-05-06T00:00:00"/>
    <d v="2026-10-06T00:00:00"/>
    <n v="8.5"/>
    <x v="0"/>
    <n v="8"/>
    <x v="1"/>
    <s v="Low"/>
    <s v="Low"/>
  </r>
  <r>
    <x v="12"/>
    <x v="12"/>
    <x v="3"/>
    <n v="6"/>
    <n v="89"/>
    <n v="8.5"/>
    <s v="15-06-2026"/>
    <s v="30-06-2026"/>
    <n v="38"/>
    <x v="0"/>
    <n v="14.833333333333334"/>
    <x v="1"/>
    <s v="Medium"/>
    <s v="Long"/>
  </r>
  <r>
    <x v="13"/>
    <x v="13"/>
    <x v="5"/>
    <n v="2"/>
    <n v="12"/>
    <n v="8.1999999999999993"/>
    <d v="2026-02-07T00:00:00"/>
    <d v="2026-10-07T00:00:00"/>
    <n v="12"/>
    <x v="0"/>
    <n v="6"/>
    <x v="1"/>
    <s v="Low"/>
    <s v="Medium"/>
  </r>
  <r>
    <x v="14"/>
    <x v="14"/>
    <x v="7"/>
    <n v="2"/>
    <n v="18"/>
    <n v="9"/>
    <d v="2026-05-07T00:00:00"/>
    <s v="15-07-2026"/>
    <n v="15.5"/>
    <x v="0"/>
    <n v="9"/>
    <x v="0"/>
    <s v="Low"/>
    <s v="Medium"/>
  </r>
  <r>
    <x v="15"/>
    <x v="15"/>
    <x v="8"/>
    <n v="3"/>
    <n v="24"/>
    <n v="8.1999999999999993"/>
    <d v="2026-01-08T00:00:00"/>
    <s v="15-08-2026"/>
    <n v="22"/>
    <x v="0"/>
    <n v="8"/>
    <x v="1"/>
    <s v="Medium"/>
    <s v="Medium"/>
  </r>
  <r>
    <x v="16"/>
    <x v="16"/>
    <x v="3"/>
    <n v="1"/>
    <n v="9"/>
    <n v="8.8000000000000007"/>
    <d v="2026-03-08T00:00:00"/>
    <d v="2026-12-08T00:00:00"/>
    <n v="10"/>
    <x v="1"/>
    <n v="9"/>
    <x v="1"/>
    <s v="Low"/>
    <s v="Low"/>
  </r>
  <r>
    <x v="17"/>
    <x v="17"/>
    <x v="1"/>
    <n v="2"/>
    <n v="18"/>
    <n v="8.4"/>
    <d v="2026-05-08T00:00:00"/>
    <m/>
    <n v="14"/>
    <x v="1"/>
    <n v="9"/>
    <x v="1"/>
    <s v="Low"/>
    <s v="Medium"/>
  </r>
  <r>
    <x v="18"/>
    <x v="18"/>
    <x v="9"/>
    <n v="1"/>
    <n v="8"/>
    <n v="8.3000000000000007"/>
    <d v="2026-08-08T00:00:00"/>
    <m/>
    <n v="8"/>
    <x v="1"/>
    <n v="8"/>
    <x v="1"/>
    <s v="Low"/>
    <s v="Low"/>
  </r>
  <r>
    <x v="19"/>
    <x v="19"/>
    <x v="0"/>
    <n v="4"/>
    <n v="36"/>
    <n v="7.8"/>
    <d v="2026-10-08T00:00:00"/>
    <m/>
    <n v="18"/>
    <x v="1"/>
    <n v="9"/>
    <x v="2"/>
    <s v="Low"/>
    <s v="Long"/>
  </r>
  <r>
    <x v="20"/>
    <x v="20"/>
    <x v="4"/>
    <n v="4"/>
    <n v="40"/>
    <n v="8.1999999999999993"/>
    <d v="2026-12-08T00:00:00"/>
    <m/>
    <n v="16"/>
    <x v="1"/>
    <n v="10"/>
    <x v="1"/>
    <s v="Low"/>
    <s v="Long"/>
  </r>
  <r>
    <x v="21"/>
    <x v="21"/>
    <x v="2"/>
    <n v="3"/>
    <n v="30"/>
    <n v="8.6999999999999993"/>
    <s v="15-01-2026"/>
    <s v="28-01-2026"/>
    <n v="21"/>
    <x v="0"/>
    <n v="10"/>
    <x v="1"/>
    <s v="Medium"/>
    <s v="Medium"/>
  </r>
  <r>
    <x v="22"/>
    <x v="22"/>
    <x v="5"/>
    <n v="6"/>
    <n v="65"/>
    <n v="8.5"/>
    <d v="2026-05-02T00:00:00"/>
    <s v="20-02-2026"/>
    <n v="35"/>
    <x v="0"/>
    <n v="10.833333333333334"/>
    <x v="1"/>
    <s v="Medium"/>
    <s v="Long"/>
  </r>
  <r>
    <x v="23"/>
    <x v="23"/>
    <x v="10"/>
    <n v="1"/>
    <n v="12"/>
    <n v="7.5"/>
    <d v="2026-10-03T00:00:00"/>
    <s v="18-03-2026"/>
    <n v="11"/>
    <x v="0"/>
    <n v="12"/>
    <x v="2"/>
    <s v="Low"/>
    <s v="Low"/>
  </r>
  <r>
    <x v="24"/>
    <x v="24"/>
    <x v="1"/>
    <n v="1"/>
    <n v="11"/>
    <n v="7.8"/>
    <d v="2026-05-04T00:00:00"/>
    <s v="15-04-2026"/>
    <n v="13"/>
    <x v="0"/>
    <n v="11"/>
    <x v="2"/>
    <s v="Low"/>
    <s v="Low"/>
  </r>
  <r>
    <x v="25"/>
    <x v="25"/>
    <x v="11"/>
    <n v="1"/>
    <n v="8"/>
    <n v="7.4"/>
    <s v="20-04-2026"/>
    <s v="27-04-2026"/>
    <n v="9"/>
    <x v="0"/>
    <n v="8"/>
    <x v="2"/>
    <s v="Low"/>
    <s v="Low"/>
  </r>
  <r>
    <x v="26"/>
    <x v="26"/>
    <x v="3"/>
    <n v="3"/>
    <n v="30"/>
    <n v="8"/>
    <d v="2026-05-05T00:00:00"/>
    <s v="22-05-2026"/>
    <n v="25"/>
    <x v="0"/>
    <n v="10"/>
    <x v="1"/>
    <s v="Medium"/>
    <s v="Medium"/>
  </r>
  <r>
    <x v="27"/>
    <x v="27"/>
    <x v="11"/>
    <n v="4"/>
    <n v="62"/>
    <n v="7.1"/>
    <d v="2026-01-06T00:00:00"/>
    <s v="25-06-2026"/>
    <n v="34"/>
    <x v="0"/>
    <n v="15.5"/>
    <x v="2"/>
    <s v="Medium"/>
    <s v="Long"/>
  </r>
  <r>
    <x v="28"/>
    <x v="28"/>
    <x v="9"/>
    <n v="4"/>
    <n v="40"/>
    <n v="7.5"/>
    <d v="2026-05-07T00:00:00"/>
    <s v="20-07-2026"/>
    <n v="27"/>
    <x v="0"/>
    <n v="10"/>
    <x v="2"/>
    <s v="Medium"/>
    <s v="Long"/>
  </r>
  <r>
    <x v="29"/>
    <x v="29"/>
    <x v="4"/>
    <n v="2"/>
    <n v="20"/>
    <n v="7.5"/>
    <d v="2026-10-07T00:00:00"/>
    <s v="25-07-2026"/>
    <n v="18"/>
    <x v="0"/>
    <n v="10"/>
    <x v="2"/>
    <s v="Low"/>
    <s v="Medium"/>
  </r>
  <r>
    <x v="30"/>
    <x v="30"/>
    <x v="3"/>
    <n v="9"/>
    <n v="134"/>
    <n v="8.4"/>
    <d v="2026-02-01T00:00:00"/>
    <s v="20-02-2026"/>
    <n v="55"/>
    <x v="0"/>
    <n v="14.888888888888889"/>
    <x v="1"/>
    <s v="High"/>
    <s v="Long"/>
  </r>
  <r>
    <x v="31"/>
    <x v="31"/>
    <x v="2"/>
    <n v="8"/>
    <n v="96"/>
    <n v="8.6"/>
    <d v="2026-10-02T00:00:00"/>
    <d v="2026-05-03T00:00:00"/>
    <n v="48"/>
    <x v="0"/>
    <n v="12"/>
    <x v="1"/>
    <s v="High"/>
    <s v="Long"/>
  </r>
  <r>
    <x v="32"/>
    <x v="32"/>
    <x v="3"/>
    <n v="8"/>
    <n v="177"/>
    <n v="8.6999999999999993"/>
    <s v="15-02-2026"/>
    <s v="15-03-2026"/>
    <n v="52"/>
    <x v="0"/>
    <n v="22.125"/>
    <x v="1"/>
    <s v="High"/>
    <s v="Long"/>
  </r>
  <r>
    <x v="33"/>
    <x v="33"/>
    <x v="11"/>
    <n v="6"/>
    <n v="121"/>
    <n v="8.3000000000000007"/>
    <s v="20-02-2026"/>
    <s v="20-03-2026"/>
    <n v="45"/>
    <x v="0"/>
    <n v="20.166666666666668"/>
    <x v="1"/>
    <s v="High"/>
    <s v="Long"/>
  </r>
  <r>
    <x v="34"/>
    <x v="34"/>
    <x v="0"/>
    <n v="7"/>
    <n v="100"/>
    <n v="7.6"/>
    <d v="2026-01-03T00:00:00"/>
    <s v="25-03-2026"/>
    <n v="43"/>
    <x v="0"/>
    <n v="14.285714285714286"/>
    <x v="2"/>
    <s v="High"/>
    <s v="Long"/>
  </r>
  <r>
    <x v="35"/>
    <x v="35"/>
    <x v="1"/>
    <n v="6"/>
    <n v="100"/>
    <n v="7.7"/>
    <d v="2026-10-03T00:00:00"/>
    <d v="2026-05-04T00:00:00"/>
    <n v="46"/>
    <x v="0"/>
    <n v="16.666666666666668"/>
    <x v="2"/>
    <s v="High"/>
    <s v="Long"/>
  </r>
  <r>
    <x v="36"/>
    <x v="36"/>
    <x v="5"/>
    <n v="9"/>
    <n v="184"/>
    <n v="7.5"/>
    <d v="2026-01-04T00:00:00"/>
    <s v="25-04-2026"/>
    <n v="58"/>
    <x v="0"/>
    <n v="20.444444444444443"/>
    <x v="2"/>
    <s v="High"/>
    <s v="Long"/>
  </r>
  <r>
    <x v="37"/>
    <x v="37"/>
    <x v="11"/>
    <n v="4"/>
    <n v="13"/>
    <n v="9.1"/>
    <d v="2026-05-04T00:00:00"/>
    <d v="2026-12-04T00:00:00"/>
    <n v="12.5"/>
    <x v="0"/>
    <n v="3.25"/>
    <x v="0"/>
    <s v="Low"/>
    <s v="Long"/>
  </r>
  <r>
    <x v="38"/>
    <x v="38"/>
    <x v="2"/>
    <n v="6"/>
    <n v="63"/>
    <n v="9"/>
    <d v="2026-10-04T00:00:00"/>
    <d v="2026-05-05T00:00:00"/>
    <n v="44"/>
    <x v="0"/>
    <n v="10.5"/>
    <x v="0"/>
    <s v="High"/>
    <s v="Long"/>
  </r>
  <r>
    <x v="39"/>
    <x v="39"/>
    <x v="2"/>
    <n v="4"/>
    <n v="44"/>
    <n v="8.5"/>
    <d v="2026-01-05T00:00:00"/>
    <s v="20-05-2026"/>
    <n v="35"/>
    <x v="0"/>
    <n v="11"/>
    <x v="1"/>
    <s v="Medium"/>
    <s v="Long"/>
  </r>
  <r>
    <x v="40"/>
    <x v="40"/>
    <x v="3"/>
    <n v="6"/>
    <n v="60"/>
    <n v="8.6"/>
    <d v="2026-05-05T00:00:00"/>
    <s v="30-05-2026"/>
    <n v="42"/>
    <x v="0"/>
    <n v="10"/>
    <x v="1"/>
    <s v="High"/>
    <s v="Long"/>
  </r>
  <r>
    <x v="41"/>
    <x v="41"/>
    <x v="10"/>
    <n v="2"/>
    <n v="16"/>
    <n v="6.5"/>
    <d v="2026-10-05T00:00:00"/>
    <s v="18-05-2026"/>
    <n v="13"/>
    <x v="0"/>
    <n v="8"/>
    <x v="3"/>
    <s v="Low"/>
    <s v="Medium"/>
  </r>
  <r>
    <x v="42"/>
    <x v="42"/>
    <x v="0"/>
    <n v="2"/>
    <n v="24"/>
    <n v="8.1999999999999993"/>
    <s v="15-05-2026"/>
    <s v="25-05-2026"/>
    <n v="19"/>
    <x v="0"/>
    <n v="12"/>
    <x v="1"/>
    <s v="Low"/>
    <s v="Medium"/>
  </r>
  <r>
    <x v="43"/>
    <x v="43"/>
    <x v="1"/>
    <n v="3"/>
    <n v="28"/>
    <n v="7.4"/>
    <d v="2026-01-06T00:00:00"/>
    <s v="15-06-2026"/>
    <n v="22"/>
    <x v="0"/>
    <n v="9.3333333333333339"/>
    <x v="2"/>
    <s v="Medium"/>
    <s v="Medium"/>
  </r>
  <r>
    <x v="44"/>
    <x v="44"/>
    <x v="6"/>
    <n v="7"/>
    <n v="84"/>
    <n v="7.8"/>
    <d v="2026-05-06T00:00:00"/>
    <s v="30-06-2026"/>
    <n v="40"/>
    <x v="0"/>
    <n v="12"/>
    <x v="2"/>
    <s v="High"/>
    <s v="Long"/>
  </r>
  <r>
    <x v="45"/>
    <x v="45"/>
    <x v="8"/>
    <n v="4"/>
    <n v="40"/>
    <n v="7"/>
    <d v="2026-01-07T00:00:00"/>
    <s v="15-07-2026"/>
    <n v="25"/>
    <x v="0"/>
    <n v="10"/>
    <x v="2"/>
    <s v="Medium"/>
    <s v="Long"/>
  </r>
  <r>
    <x v="46"/>
    <x v="46"/>
    <x v="5"/>
    <n v="1"/>
    <n v="8"/>
    <n v="7.5"/>
    <d v="2026-05-07T00:00:00"/>
    <d v="2026-10-07T00:00:00"/>
    <n v="8"/>
    <x v="0"/>
    <n v="8"/>
    <x v="2"/>
    <s v="Low"/>
    <s v="Low"/>
  </r>
  <r>
    <x v="47"/>
    <x v="47"/>
    <x v="5"/>
    <n v="2"/>
    <n v="16"/>
    <n v="8.1"/>
    <d v="2026-10-07T00:00:00"/>
    <s v="20-07-2026"/>
    <n v="14"/>
    <x v="0"/>
    <n v="8"/>
    <x v="1"/>
    <s v="Low"/>
    <s v="Medium"/>
  </r>
  <r>
    <x v="48"/>
    <x v="48"/>
    <x v="10"/>
    <n v="3"/>
    <n v="30"/>
    <n v="7.8"/>
    <s v="15-07-2026"/>
    <s v="30-07-2026"/>
    <n v="24"/>
    <x v="0"/>
    <n v="10"/>
    <x v="2"/>
    <s v="Medium"/>
    <s v="Medium"/>
  </r>
  <r>
    <x v="49"/>
    <x v="49"/>
    <x v="2"/>
    <n v="4"/>
    <n v="32"/>
    <n v="7.9"/>
    <d v="2026-01-08T00:00:00"/>
    <d v="2026-12-08T00:00:00"/>
    <n v="22"/>
    <x v="0"/>
    <n v="8"/>
    <x v="2"/>
    <s v="Medium"/>
    <s v="Long"/>
  </r>
  <r>
    <x v="50"/>
    <x v="50"/>
    <x v="3"/>
    <n v="6"/>
    <n v="108"/>
    <n v="8"/>
    <d v="2026-03-01T00:00:00"/>
    <s v="25-01-2026"/>
    <n v="47"/>
    <x v="0"/>
    <n v="18"/>
    <x v="1"/>
    <s v="High"/>
    <s v="Long"/>
  </r>
  <r>
    <x v="51"/>
    <x v="51"/>
    <x v="5"/>
    <n v="5"/>
    <n v="90"/>
    <n v="8.3000000000000007"/>
    <d v="2026-05-02T00:00:00"/>
    <s v="28-02-2026"/>
    <n v="50"/>
    <x v="0"/>
    <n v="18"/>
    <x v="1"/>
    <s v="High"/>
    <s v="Long"/>
  </r>
  <r>
    <x v="52"/>
    <x v="52"/>
    <x v="6"/>
    <n v="9"/>
    <n v="208"/>
    <n v="8.3000000000000007"/>
    <d v="2026-01-03T00:00:00"/>
    <s v="30-03-2026"/>
    <n v="62"/>
    <x v="0"/>
    <n v="23.111111111111111"/>
    <x v="1"/>
    <s v="High"/>
    <s v="Long"/>
  </r>
  <r>
    <x v="53"/>
    <x v="53"/>
    <x v="6"/>
    <n v="10"/>
    <n v="236"/>
    <n v="8.9"/>
    <d v="2026-05-04T00:00:00"/>
    <d v="2026-10-05T00:00:00"/>
    <n v="70"/>
    <x v="0"/>
    <n v="23.6"/>
    <x v="1"/>
    <s v="High"/>
    <s v="Long"/>
  </r>
  <r>
    <x v="54"/>
    <x v="54"/>
    <x v="6"/>
    <n v="9"/>
    <n v="201"/>
    <n v="8.8000000000000007"/>
    <s v="15-04-2026"/>
    <s v="20-05-2026"/>
    <n v="66"/>
    <x v="0"/>
    <n v="22.333333333333332"/>
    <x v="1"/>
    <s v="High"/>
    <s v="Long"/>
  </r>
  <r>
    <x v="55"/>
    <x v="55"/>
    <x v="6"/>
    <n v="11"/>
    <n v="250"/>
    <n v="8.5"/>
    <d v="2026-01-05T00:00:00"/>
    <s v="15-06-2026"/>
    <n v="72"/>
    <x v="0"/>
    <n v="22.727272727272727"/>
    <x v="1"/>
    <s v="High"/>
    <s v="Long"/>
  </r>
  <r>
    <x v="56"/>
    <x v="56"/>
    <x v="6"/>
    <n v="8"/>
    <n v="153"/>
    <n v="8.4"/>
    <d v="2026-05-06T00:00:00"/>
    <s v="25-06-2026"/>
    <n v="52"/>
    <x v="0"/>
    <n v="19.125"/>
    <x v="1"/>
    <s v="High"/>
    <s v="Long"/>
  </r>
  <r>
    <x v="57"/>
    <x v="57"/>
    <x v="6"/>
    <n v="6"/>
    <n v="110"/>
    <n v="8.5"/>
    <d v="2026-01-07T00:00:00"/>
    <s v="20-07-2026"/>
    <n v="40"/>
    <x v="0"/>
    <n v="18.333333333333332"/>
    <x v="1"/>
    <s v="High"/>
    <s v="Long"/>
  </r>
  <r>
    <x v="58"/>
    <x v="58"/>
    <x v="0"/>
    <n v="3"/>
    <n v="25"/>
    <n v="7.8"/>
    <d v="2026-05-07T00:00:00"/>
    <s v="15-07-2026"/>
    <n v="20"/>
    <x v="0"/>
    <n v="8.3333333333333339"/>
    <x v="2"/>
    <s v="Medium"/>
    <s v="Medium"/>
  </r>
  <r>
    <x v="59"/>
    <x v="59"/>
    <x v="0"/>
    <n v="2"/>
    <n v="18"/>
    <n v="7.9"/>
    <d v="2026-10-07T00:00:00"/>
    <s v="20-07-2026"/>
    <n v="16"/>
    <x v="0"/>
    <n v="9"/>
    <x v="2"/>
    <s v="Low"/>
    <s v="Medium"/>
  </r>
  <r>
    <x v="60"/>
    <x v="60"/>
    <x v="0"/>
    <n v="3"/>
    <n v="34"/>
    <n v="8"/>
    <d v="2026-01-08T00:00:00"/>
    <d v="2026-12-08T00:00:00"/>
    <n v="24"/>
    <x v="0"/>
    <n v="11.333333333333334"/>
    <x v="1"/>
    <s v="Medium"/>
    <s v="Medium"/>
  </r>
  <r>
    <x v="61"/>
    <x v="61"/>
    <x v="0"/>
    <n v="6"/>
    <n v="62"/>
    <n v="8.5"/>
    <d v="2026-05-01T00:00:00"/>
    <s v="20-02-2026"/>
    <n v="43"/>
    <x v="0"/>
    <n v="10.333333333333334"/>
    <x v="1"/>
    <s v="High"/>
    <s v="Long"/>
  </r>
  <r>
    <x v="62"/>
    <x v="62"/>
    <x v="0"/>
    <n v="2"/>
    <n v="20"/>
    <n v="7.8"/>
    <d v="2026-10-02T00:00:00"/>
    <s v="25-02-2026"/>
    <n v="18"/>
    <x v="0"/>
    <n v="10"/>
    <x v="2"/>
    <s v="Low"/>
    <s v="Medium"/>
  </r>
  <r>
    <x v="63"/>
    <x v="63"/>
    <x v="0"/>
    <n v="1"/>
    <n v="12"/>
    <n v="8.4"/>
    <d v="2026-05-03T00:00:00"/>
    <s v="15-03-2026"/>
    <n v="13"/>
    <x v="0"/>
    <n v="12"/>
    <x v="1"/>
    <s v="Low"/>
    <s v="Low"/>
  </r>
  <r>
    <x v="64"/>
    <x v="64"/>
    <x v="4"/>
    <n v="4"/>
    <n v="45"/>
    <n v="8.5"/>
    <d v="2026-10-03T00:00:00"/>
    <s v="25-03-2026"/>
    <n v="34"/>
    <x v="0"/>
    <n v="11.25"/>
    <x v="1"/>
    <s v="Medium"/>
    <s v="Long"/>
  </r>
  <r>
    <x v="65"/>
    <x v="20"/>
    <x v="4"/>
    <n v="4"/>
    <n v="40"/>
    <n v="8.1999999999999993"/>
    <d v="2026-01-04T00:00:00"/>
    <s v="20-04-2026"/>
    <n v="30"/>
    <x v="0"/>
    <n v="10"/>
    <x v="1"/>
    <s v="Medium"/>
    <s v="Long"/>
  </r>
  <r>
    <x v="66"/>
    <x v="65"/>
    <x v="4"/>
    <n v="1"/>
    <n v="6"/>
    <n v="8"/>
    <d v="2026-05-05T00:00:00"/>
    <d v="2026-10-05T00:00:00"/>
    <n v="6.5"/>
    <x v="0"/>
    <n v="6"/>
    <x v="1"/>
    <s v="Low"/>
    <s v="Low"/>
  </r>
  <r>
    <x v="67"/>
    <x v="66"/>
    <x v="4"/>
    <n v="3"/>
    <n v="17"/>
    <n v="8.1"/>
    <d v="2026-10-05T00:00:00"/>
    <s v="20-05-2026"/>
    <n v="14"/>
    <x v="0"/>
    <n v="5.666666666666667"/>
    <x v="1"/>
    <s v="Low"/>
    <s v="Medium"/>
  </r>
  <r>
    <x v="68"/>
    <x v="67"/>
    <x v="10"/>
    <n v="1"/>
    <n v="10"/>
    <n v="8.6"/>
    <d v="2026-01-06T00:00:00"/>
    <d v="2026-10-06T00:00:00"/>
    <n v="10"/>
    <x v="0"/>
    <n v="10"/>
    <x v="1"/>
    <s v="Low"/>
    <s v="Low"/>
  </r>
  <r>
    <x v="69"/>
    <x v="68"/>
    <x v="10"/>
    <n v="1"/>
    <n v="7"/>
    <n v="7.7"/>
    <d v="2026-05-06T00:00:00"/>
    <d v="2026-12-06T00:00:00"/>
    <n v="8"/>
    <x v="0"/>
    <n v="7"/>
    <x v="2"/>
    <s v="Low"/>
    <s v="Low"/>
  </r>
  <r>
    <x v="70"/>
    <x v="69"/>
    <x v="10"/>
    <n v="1"/>
    <n v="8"/>
    <n v="7.3"/>
    <d v="2026-01-07T00:00:00"/>
    <d v="2026-10-07T00:00:00"/>
    <n v="9"/>
    <x v="0"/>
    <n v="8"/>
    <x v="2"/>
    <s v="Low"/>
    <s v="Low"/>
  </r>
  <r>
    <x v="71"/>
    <x v="70"/>
    <x v="10"/>
    <n v="11"/>
    <n v="177"/>
    <n v="8.1"/>
    <d v="2026-05-01T00:00:00"/>
    <s v="15-03-2026"/>
    <n v="75"/>
    <x v="0"/>
    <n v="16.09090909090909"/>
    <x v="1"/>
    <s v="High"/>
    <s v="Long"/>
  </r>
  <r>
    <x v="72"/>
    <x v="71"/>
    <x v="10"/>
    <n v="8"/>
    <n v="113"/>
    <n v="6.8"/>
    <d v="2026-10-04T00:00:00"/>
    <s v="20-05-2026"/>
    <n v="55"/>
    <x v="0"/>
    <n v="14.125"/>
    <x v="3"/>
    <s v="High"/>
    <s v="Long"/>
  </r>
  <r>
    <x v="73"/>
    <x v="72"/>
    <x v="10"/>
    <n v="2"/>
    <n v="12"/>
    <n v="8.3000000000000007"/>
    <d v="2026-01-06T00:00:00"/>
    <d v="2026-10-06T00:00:00"/>
    <n v="11"/>
    <x v="0"/>
    <n v="6"/>
    <x v="1"/>
    <s v="Low"/>
    <s v="Medium"/>
  </r>
  <r>
    <x v="74"/>
    <x v="73"/>
    <x v="10"/>
    <n v="3"/>
    <n v="26"/>
    <n v="7.3"/>
    <d v="2026-05-07T00:00:00"/>
    <s v="20-07-2026"/>
    <n v="22"/>
    <x v="0"/>
    <n v="8.6666666666666661"/>
    <x v="2"/>
    <s v="Medium"/>
    <s v="Medium"/>
  </r>
  <r>
    <x v="75"/>
    <x v="74"/>
    <x v="3"/>
    <n v="1"/>
    <n v="20"/>
    <n v="8.4"/>
    <d v="2026-01-02T00:00:00"/>
    <s v="20-02-2026"/>
    <n v="19"/>
    <x v="0"/>
    <n v="20"/>
    <x v="1"/>
    <s v="Low"/>
    <s v="Low"/>
  </r>
  <r>
    <x v="76"/>
    <x v="75"/>
    <x v="8"/>
    <n v="1"/>
    <n v="16"/>
    <n v="8.6999999999999993"/>
    <d v="2026-05-03T00:00:00"/>
    <s v="20-03-2026"/>
    <n v="17"/>
    <x v="0"/>
    <n v="16"/>
    <x v="1"/>
    <s v="Low"/>
    <s v="Low"/>
  </r>
  <r>
    <x v="77"/>
    <x v="76"/>
    <x v="3"/>
    <n v="1"/>
    <n v="16"/>
    <n v="8.1999999999999993"/>
    <d v="2026-01-04T00:00:00"/>
    <s v="15-04-2026"/>
    <n v="16"/>
    <x v="0"/>
    <n v="16"/>
    <x v="1"/>
    <s v="Low"/>
    <s v="Low"/>
  </r>
  <r>
    <x v="78"/>
    <x v="77"/>
    <x v="5"/>
    <n v="1"/>
    <n v="8"/>
    <n v="7.8"/>
    <d v="2026-05-05T00:00:00"/>
    <d v="2026-12-05T00:00:00"/>
    <n v="8"/>
    <x v="0"/>
    <n v="8"/>
    <x v="2"/>
    <s v="Low"/>
    <s v="Low"/>
  </r>
  <r>
    <x v="79"/>
    <x v="78"/>
    <x v="1"/>
    <n v="2"/>
    <n v="30"/>
    <n v="8.6999999999999993"/>
    <d v="2026-01-06T00:00:00"/>
    <s v="25-06-2026"/>
    <n v="27"/>
    <x v="0"/>
    <n v="15"/>
    <x v="1"/>
    <s v="Medium"/>
    <s v="Medium"/>
  </r>
  <r>
    <x v="80"/>
    <x v="79"/>
    <x v="8"/>
    <n v="1"/>
    <n v="16"/>
    <n v="7.8"/>
    <d v="2026-05-07T00:00:00"/>
    <s v="20-07-2026"/>
    <n v="15"/>
    <x v="0"/>
    <n v="16"/>
    <x v="2"/>
    <s v="Low"/>
    <s v="Low"/>
  </r>
  <r>
    <x v="81"/>
    <x v="80"/>
    <x v="7"/>
    <n v="2"/>
    <n v="24"/>
    <n v="8"/>
    <d v="2026-10-07T00:00:00"/>
    <s v="25-07-2026"/>
    <n v="18"/>
    <x v="0"/>
    <n v="12"/>
    <x v="1"/>
    <s v="Low"/>
    <s v="Medium"/>
  </r>
  <r>
    <x v="82"/>
    <x v="81"/>
    <x v="7"/>
    <n v="4"/>
    <n v="55"/>
    <n v="8.6"/>
    <d v="2026-01-08T00:00:00"/>
    <s v="15-08-2026"/>
    <n v="35"/>
    <x v="0"/>
    <n v="13.75"/>
    <x v="1"/>
    <s v="Medium"/>
    <s v="Long"/>
  </r>
  <r>
    <x v="83"/>
    <x v="82"/>
    <x v="7"/>
    <n v="4"/>
    <n v="89"/>
    <n v="9.1"/>
    <d v="2026-05-01T00:00:00"/>
    <d v="2026-10-02T00:00:00"/>
    <n v="48"/>
    <x v="0"/>
    <n v="22.25"/>
    <x v="0"/>
    <s v="High"/>
    <s v="Long"/>
  </r>
  <r>
    <x v="84"/>
    <x v="83"/>
    <x v="7"/>
    <n v="2"/>
    <n v="47"/>
    <n v="8.6999999999999993"/>
    <d v="2026-01-03T00:00:00"/>
    <s v="20-03-2026"/>
    <n v="30"/>
    <x v="0"/>
    <n v="23.5"/>
    <x v="1"/>
    <s v="Medium"/>
    <s v="Medium"/>
  </r>
  <r>
    <x v="85"/>
    <x v="84"/>
    <x v="7"/>
    <n v="1"/>
    <n v="37"/>
    <n v="8.9"/>
    <d v="2026-05-04T00:00:00"/>
    <s v="20-04-2026"/>
    <n v="24"/>
    <x v="0"/>
    <n v="37"/>
    <x v="1"/>
    <s v="Medium"/>
    <s v="Low"/>
  </r>
  <r>
    <x v="86"/>
    <x v="85"/>
    <x v="7"/>
    <n v="5"/>
    <n v="220"/>
    <n v="8.4"/>
    <d v="2026-01-05T00:00:00"/>
    <s v="30-06-2026"/>
    <n v="80"/>
    <x v="0"/>
    <n v="44"/>
    <x v="1"/>
    <s v="High"/>
    <s v="Long"/>
  </r>
  <r>
    <x v="87"/>
    <x v="86"/>
    <x v="7"/>
    <n v="2"/>
    <n v="24"/>
    <n v="8.6"/>
    <d v="2026-05-07T00:00:00"/>
    <s v="15-07-2026"/>
    <n v="17"/>
    <x v="0"/>
    <n v="12"/>
    <x v="1"/>
    <s v="Low"/>
    <s v="Medium"/>
  </r>
  <r>
    <x v="88"/>
    <x v="87"/>
    <x v="7"/>
    <n v="1"/>
    <n v="24"/>
    <n v="8.1999999999999993"/>
    <d v="2026-01-08T00:00:00"/>
    <d v="2026-12-08T00:00:00"/>
    <n v="18"/>
    <x v="0"/>
    <n v="24"/>
    <x v="1"/>
    <s v="Low"/>
    <s v="Low"/>
  </r>
  <r>
    <x v="89"/>
    <x v="88"/>
    <x v="7"/>
    <n v="4"/>
    <n v="85"/>
    <n v="8.6999999999999993"/>
    <d v="2026-05-02T00:00:00"/>
    <s v="20-03-2026"/>
    <n v="45"/>
    <x v="0"/>
    <n v="21.25"/>
    <x v="1"/>
    <s v="High"/>
    <s v="Long"/>
  </r>
  <r>
    <x v="90"/>
    <x v="47"/>
    <x v="5"/>
    <n v="2"/>
    <n v="16"/>
    <n v="8.1"/>
    <d v="2026-05-08T00:00:00"/>
    <m/>
    <n v="10"/>
    <x v="1"/>
    <n v="8"/>
    <x v="1"/>
    <s v="Low"/>
    <s v="Medium"/>
  </r>
  <r>
    <x v="91"/>
    <x v="10"/>
    <x v="5"/>
    <n v="4"/>
    <n v="32"/>
    <n v="8.6999999999999993"/>
    <d v="2026-10-08T00:00:00"/>
    <m/>
    <n v="12"/>
    <x v="1"/>
    <n v="8"/>
    <x v="1"/>
    <s v="Low"/>
    <s v="Long"/>
  </r>
  <r>
    <x v="92"/>
    <x v="0"/>
    <x v="0"/>
    <n v="4"/>
    <n v="34"/>
    <n v="9.1"/>
    <d v="2026-12-08T00:00:00"/>
    <m/>
    <n v="8"/>
    <x v="1"/>
    <n v="8.5"/>
    <x v="0"/>
    <s v="Low"/>
    <s v="Long"/>
  </r>
  <r>
    <x v="93"/>
    <x v="11"/>
    <x v="6"/>
    <n v="1"/>
    <n v="8"/>
    <n v="8"/>
    <s v="13-08-2026"/>
    <m/>
    <n v="4"/>
    <x v="1"/>
    <n v="8"/>
    <x v="1"/>
    <s v="Low"/>
    <s v="Low"/>
  </r>
  <r>
    <x v="94"/>
    <x v="15"/>
    <x v="8"/>
    <n v="3"/>
    <n v="24"/>
    <n v="8.1999999999999993"/>
    <s v="14-08-2026"/>
    <m/>
    <n v="6"/>
    <x v="1"/>
    <n v="8"/>
    <x v="1"/>
    <s v="Low"/>
    <s v="Medium"/>
  </r>
  <r>
    <x v="95"/>
    <x v="89"/>
    <x v="5"/>
    <n v="3"/>
    <n v="39"/>
    <n v="8.6"/>
    <s v="15-08-2026"/>
    <m/>
    <n v="7"/>
    <x v="1"/>
    <n v="13"/>
    <x v="1"/>
    <s v="Low"/>
    <s v="Medium"/>
  </r>
  <r>
    <x v="96"/>
    <x v="17"/>
    <x v="1"/>
    <n v="2"/>
    <n v="18"/>
    <n v="8.4"/>
    <s v="15-08-2026"/>
    <m/>
    <n v="5"/>
    <x v="1"/>
    <n v="9"/>
    <x v="1"/>
    <s v="Low"/>
    <s v="Medium"/>
  </r>
  <r>
    <x v="97"/>
    <x v="16"/>
    <x v="3"/>
    <n v="1"/>
    <n v="9"/>
    <n v="8.8000000000000007"/>
    <s v="16-08-2026"/>
    <m/>
    <n v="3.5"/>
    <x v="1"/>
    <n v="9"/>
    <x v="1"/>
    <s v="Low"/>
    <s v="Low"/>
  </r>
  <r>
    <x v="98"/>
    <x v="18"/>
    <x v="9"/>
    <n v="1"/>
    <n v="8"/>
    <n v="8.3000000000000007"/>
    <s v="16-08-2026"/>
    <m/>
    <n v="2.5"/>
    <x v="1"/>
    <n v="8"/>
    <x v="1"/>
    <s v="Low"/>
    <s v="Low"/>
  </r>
  <r>
    <x v="99"/>
    <x v="19"/>
    <x v="0"/>
    <n v="4"/>
    <n v="36"/>
    <n v="7.8"/>
    <s v="16-08-2026"/>
    <m/>
    <n v="4"/>
    <x v="1"/>
    <n v="9"/>
    <x v="2"/>
    <s v="Low"/>
    <s v="Long"/>
  </r>
  <r>
    <x v="100"/>
    <x v="90"/>
    <x v="12"/>
    <m/>
    <m/>
    <m/>
    <m/>
    <m/>
    <m/>
    <x v="2"/>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C56D9-5E76-42E3-98CF-7AED3A1FDC4A}" name="PivotChar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35C54-82A8-4E9A-8DD7-F9B7AD8DA787}"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14" firstHeaderRow="1" firstDataRow="1" firstDataCol="1"/>
  <pivotFields count="2">
    <pivotField axis="axisRow" allDrilled="1" subtotalTop="0" showAll="0" sortType="ascending" defaultSubtotal="0" defaultAttributeDrillState="1">
      <items count="10">
        <item x="4"/>
        <item x="3"/>
        <item x="7"/>
        <item x="0"/>
        <item x="8"/>
        <item x="6"/>
        <item x="5"/>
        <item x="1"/>
        <item x="9"/>
        <item x="2"/>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Watch Time (Hour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Series_Data">
        <x15:activeTabTopLevelEntity name="[Seri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1D5B7-4089-48F6-9296-0F5BFD4DBC8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
    <pivotField axis="axisRow" allDrilled="1" subtotalTop="0" showAll="0" sortType="descending" defaultSubtotal="0" defaultAttributeDrillState="1">
      <items count="10">
        <item x="2"/>
        <item x="9"/>
        <item x="1"/>
        <item x="5"/>
        <item x="6"/>
        <item x="8"/>
        <item x="0"/>
        <item x="7"/>
        <item x="3"/>
        <item x="4"/>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Watch Time (Hour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Series_Data">
        <x15:activeTabTopLevelEntity name="[Seri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D528F-E6CB-4DF2-8AD5-A6234BC6A1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 firstHeaderRow="1" firstDataRow="1" firstDataCol="1"/>
  <pivotFields count="14">
    <pivotField showAll="0"/>
    <pivotField showAll="0"/>
    <pivotField axis="axisRow" showAll="0">
      <items count="14">
        <item x="5"/>
        <item x="9"/>
        <item x="7"/>
        <item x="6"/>
        <item x="2"/>
        <item x="3"/>
        <item x="1"/>
        <item x="10"/>
        <item x="11"/>
        <item x="8"/>
        <item x="0"/>
        <item x="4"/>
        <item x="12"/>
        <item t="default"/>
      </items>
    </pivotField>
    <pivotField showAll="0"/>
    <pivotField showAll="0"/>
    <pivotField showAll="0"/>
    <pivotField showAll="0"/>
    <pivotField showAll="0"/>
    <pivotField dataField="1" showAll="0"/>
    <pivotField showAll="0">
      <items count="4">
        <item x="0"/>
        <item x="1"/>
        <item x="2"/>
        <item t="default"/>
      </items>
    </pivotField>
    <pivotField showAll="0"/>
    <pivotField showAll="0">
      <items count="6">
        <item x="2"/>
        <item x="0"/>
        <item x="1"/>
        <item x="3"/>
        <item x="4"/>
        <item t="default"/>
      </items>
    </pivotField>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Watch Time (Hours)" fld="8"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57E4D7-B62A-42BF-A4C7-6F5C212DCF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4">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axis="axisRow"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6">
        <item x="2"/>
        <item x="0"/>
        <item x="1"/>
        <item x="3"/>
        <item x="4"/>
        <item t="default"/>
      </items>
    </pivotField>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Count of Series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34EC1C-B7AB-43D0-99A0-B579CC41EA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6">
        <item x="2"/>
        <item x="0"/>
        <item x="1"/>
        <item x="3"/>
        <item x="4"/>
        <item t="default"/>
      </items>
    </pivotField>
    <pivotField showAll="0"/>
    <pivotField showAll="0"/>
  </pivotFields>
  <rowFields count="1">
    <field x="11"/>
  </rowFields>
  <rowItems count="6">
    <i>
      <x/>
    </i>
    <i>
      <x v="1"/>
    </i>
    <i>
      <x v="2"/>
    </i>
    <i>
      <x v="3"/>
    </i>
    <i>
      <x v="4"/>
    </i>
    <i t="grand">
      <x/>
    </i>
  </rowItems>
  <colItems count="1">
    <i/>
  </colItems>
  <dataFields count="1">
    <dataField name="Count of Series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A12252-71EA-4446-B0A6-2DAB4C394F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4">
    <pivotField showAll="0"/>
    <pivotField axis="axisRow" showAll="0" measureFilter="1">
      <items count="92">
        <item x="25"/>
        <item x="11"/>
        <item x="78"/>
        <item x="23"/>
        <item x="59"/>
        <item x="63"/>
        <item x="14"/>
        <item x="69"/>
        <item x="82"/>
        <item x="38"/>
        <item x="6"/>
        <item x="41"/>
        <item x="87"/>
        <item x="65"/>
        <item x="5"/>
        <item x="15"/>
        <item x="56"/>
        <item x="22"/>
        <item x="57"/>
        <item x="75"/>
        <item x="89"/>
        <item x="4"/>
        <item x="84"/>
        <item x="81"/>
        <item x="31"/>
        <item x="45"/>
        <item x="71"/>
        <item x="62"/>
        <item x="53"/>
        <item x="48"/>
        <item x="88"/>
        <item x="32"/>
        <item x="17"/>
        <item x="52"/>
        <item x="76"/>
        <item x="83"/>
        <item x="79"/>
        <item x="72"/>
        <item x="43"/>
        <item x="13"/>
        <item x="33"/>
        <item x="7"/>
        <item x="27"/>
        <item x="80"/>
        <item x="68"/>
        <item x="55"/>
        <item x="2"/>
        <item x="64"/>
        <item x="77"/>
        <item x="21"/>
        <item x="85"/>
        <item x="18"/>
        <item x="86"/>
        <item x="28"/>
        <item x="39"/>
        <item x="8"/>
        <item x="51"/>
        <item x="47"/>
        <item x="42"/>
        <item x="37"/>
        <item x="9"/>
        <item x="0"/>
        <item x="30"/>
        <item x="73"/>
        <item x="35"/>
        <item x="34"/>
        <item x="10"/>
        <item x="40"/>
        <item x="61"/>
        <item x="66"/>
        <item x="36"/>
        <item x="67"/>
        <item x="16"/>
        <item x="26"/>
        <item x="29"/>
        <item x="54"/>
        <item x="3"/>
        <item x="46"/>
        <item x="50"/>
        <item x="24"/>
        <item x="49"/>
        <item x="19"/>
        <item x="70"/>
        <item x="1"/>
        <item x="60"/>
        <item x="58"/>
        <item x="12"/>
        <item x="74"/>
        <item x="20"/>
        <item x="44"/>
        <item x="90"/>
        <item t="default"/>
      </items>
    </pivotField>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dataField="1" showAll="0"/>
    <pivotField showAll="0">
      <items count="4">
        <item x="0"/>
        <item x="1"/>
        <item x="2"/>
        <item t="default"/>
      </items>
    </pivotField>
    <pivotField showAll="0"/>
    <pivotField showAll="0">
      <items count="6">
        <item x="2"/>
        <item x="0"/>
        <item x="1"/>
        <item x="3"/>
        <item x="4"/>
        <item t="default"/>
      </items>
    </pivotField>
    <pivotField showAll="0"/>
    <pivotField showAll="0"/>
  </pivotFields>
  <rowFields count="1">
    <field x="1"/>
  </rowFields>
  <rowItems count="12">
    <i>
      <x v="16"/>
    </i>
    <i>
      <x v="26"/>
    </i>
    <i>
      <x v="28"/>
    </i>
    <i>
      <x v="31"/>
    </i>
    <i>
      <x v="33"/>
    </i>
    <i>
      <x v="45"/>
    </i>
    <i>
      <x v="50"/>
    </i>
    <i>
      <x v="62"/>
    </i>
    <i>
      <x v="70"/>
    </i>
    <i>
      <x v="75"/>
    </i>
    <i>
      <x v="82"/>
    </i>
    <i t="grand">
      <x/>
    </i>
  </rowItems>
  <colItems count="1">
    <i/>
  </colItems>
  <dataFields count="1">
    <dataField name="Sum of Watch Time (Hour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16BFC6-644D-47BB-92D4-2AF00D6138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dataField="1" showAll="0"/>
    <pivotField showAll="0"/>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6">
        <item x="2"/>
        <item x="0"/>
        <item x="1"/>
        <item x="3"/>
        <item x="4"/>
        <item t="default"/>
      </items>
    </pivotField>
    <pivotField showAll="0"/>
    <pivotField showAll="0"/>
  </pivotFields>
  <rowFields count="1">
    <field x="9"/>
  </rowFields>
  <rowItems count="4">
    <i>
      <x/>
    </i>
    <i>
      <x v="1"/>
    </i>
    <i>
      <x v="2"/>
    </i>
    <i t="grand">
      <x/>
    </i>
  </rowItems>
  <colItems count="1">
    <i/>
  </colItems>
  <dataFields count="1">
    <dataField name="Count of Series ID" fld="0" subtotal="count"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B70D53C-9820-4663-9BC1-756CA60B378C}" sourceName="Genre">
  <pivotTables>
    <pivotTable tabId="3" name="PivotTable1"/>
    <pivotTable tabId="4" name="PivotTable2"/>
    <pivotTable tabId="5" name="PivotTable3"/>
    <pivotTable tabId="7" name="PivotTable5"/>
    <pivotTable tabId="6" name="PivotTable4"/>
  </pivotTables>
  <data>
    <tabular pivotCacheId="1778600833">
      <items count="13">
        <i x="5" s="1"/>
        <i x="9" s="1"/>
        <i x="7" s="1"/>
        <i x="6" s="1"/>
        <i x="2" s="1"/>
        <i x="3" s="1"/>
        <i x="1" s="1"/>
        <i x="10" s="1"/>
        <i x="11" s="1"/>
        <i x="8" s="1"/>
        <i x="0" s="1"/>
        <i x="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4B28B7C-EE0D-4083-906B-D034E699B62D}" sourceName="Status">
  <pivotTables>
    <pivotTable tabId="6" name="PivotTable4"/>
    <pivotTable tabId="3" name="PivotTable1"/>
    <pivotTable tabId="4" name="PivotTable2"/>
    <pivotTable tabId="5" name="PivotTable3"/>
    <pivotTable tabId="7" name="PivotTable5"/>
  </pivotTables>
  <data>
    <tabular pivotCacheId="177860083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3DF2766-4D12-456A-A92B-A15046706D9D}" sourceName="Rating Category">
  <pivotTables>
    <pivotTable tabId="5" name="PivotTable3"/>
    <pivotTable tabId="3" name="PivotTable1"/>
    <pivotTable tabId="4" name="PivotTable2"/>
    <pivotTable tabId="7" name="PivotTable5"/>
    <pivotTable tabId="6" name="PivotTable4"/>
  </pivotTables>
  <data>
    <tabular pivotCacheId="1778600833">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C64882D8-0E3E-48DA-9E75-1D0049FD41D7}" cache="Slicer_Genre" caption="Select Genre" rowHeight="234950"/>
  <slicer name="Status" xr10:uid="{5CE19CE4-CA0F-4091-8394-425FED1D5051}" cache="Slicer_Status" caption="Select Status" style="SlicerStyleLight2" rowHeight="234950"/>
  <slicer name="Rating Category" xr10:uid="{755A9C1B-0DAE-426B-8475-5938D63A35AA}" cache="Slicer_Rating_Category" caption="Select Rating"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11483-0108-4390-A2FC-95FA51BF4A87}" name="Series_Data" displayName="Series_Data" ref="A1:O102" totalsRowShown="0">
  <autoFilter ref="A1:O102" xr:uid="{7F711483-0108-4390-A2FC-95FA51BF4A87}"/>
  <tableColumns count="15">
    <tableColumn id="1" xr3:uid="{4A80C156-020A-4736-99F0-1E3F4E0E4700}" name="Series ID"/>
    <tableColumn id="2" xr3:uid="{AE7E0ED2-0010-4411-8090-92C3099FC330}" name="Series Name"/>
    <tableColumn id="3" xr3:uid="{0A4BB3E5-C9FB-457F-A525-978A988A655A}" name="Genre"/>
    <tableColumn id="4" xr3:uid="{692E179A-1B16-4BC4-85A4-C87E8F1AE25E}" name="Seasons"/>
    <tableColumn id="5" xr3:uid="{94C09659-674F-45E0-B559-71D4AC652929}" name="Episodes"/>
    <tableColumn id="6" xr3:uid="{00C2F17E-0220-4CF9-A379-53569B74A4BA}" name="Rating" dataDxfId="15"/>
    <tableColumn id="7" xr3:uid="{8D298C00-D1AE-41A5-90BF-9B1C7B628749}" name="Start Date" dataDxfId="14"/>
    <tableColumn id="8" xr3:uid="{5CCAA0D1-E468-40AE-ABE8-A213C5F78640}" name="End Date" dataDxfId="13"/>
    <tableColumn id="9" xr3:uid="{14DDDDDC-F1C4-4219-9751-5617A38EC4BA}" name="Watch Time (Hours)" dataDxfId="12"/>
    <tableColumn id="10" xr3:uid="{17F49F35-0E4C-423C-A613-D0CD10D55641}" name="Status"/>
    <tableColumn id="11" xr3:uid="{E4D2FEA6-E987-4E3F-9CDD-CF4A100A9A82}" name="Episodes per Season" dataDxfId="11">
      <calculatedColumnFormula>IFERROR(Series_Data[[#This Row],[Episodes]]/Series_Data[[#This Row],[Seasons]],0)</calculatedColumnFormula>
    </tableColumn>
    <tableColumn id="12" xr3:uid="{3CF8D9EC-066A-4075-9E4B-70681E897E29}" name="Rating Category" dataDxfId="10">
      <calculatedColumnFormula>IF(Series_Data[[#This Row],[Rating]]&gt;=9,"Excellent",IF(Series_Data[[#This Row],[Rating]]&gt;=8,"Good",IF(Series_Data[[#This Row],[Rating]]&gt;=7,"Avg","Low")))</calculatedColumnFormula>
    </tableColumn>
    <tableColumn id="13" xr3:uid="{2965C2D1-A290-4FDD-9BCE-627EF0EE1175}" name="Watch Time Category" dataDxfId="9">
      <calculatedColumnFormula>IF(Series_Data[[#This Row],[Watch Time (Hours)]]&gt;=40,"High",IF(Series_Data[[#This Row],[Watch Time (Hours)]]&gt;=20,"Medium","Low"))</calculatedColumnFormula>
    </tableColumn>
    <tableColumn id="14" xr3:uid="{9929CFCB-708B-4DD2-A80C-291250C3E774}" name="Series Length" dataDxfId="8">
      <calculatedColumnFormula>IF(Series_Data[[#This Row],[Seasons]]=1,"Low",IF(Series_Data[[#This Row],[Seasons]]&lt;=3,"Medium","Long"))</calculatedColumnFormula>
    </tableColumn>
    <tableColumn id="15" xr3:uid="{43A54593-F62D-4DDE-B763-81BD9060086A}" name="Watch Month" dataDxfId="7">
      <calculatedColumnFormula>IF(G2="","",IF(ISNUMBER(G2),TEXT(G2,"mmm"),IF(LEFT(G2,4)="2026",TEXT(DATE(LEFT(G2,4),MID(G2,6,2),1),"mmm"),TEXT(DATE(RIGHT(G2,4),MID(G2,4,2),1),"mmm"))))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5DE779-340C-4C10-A2C6-E418FB5A4B35}" name="Table2" displayName="Table2" ref="A1:B6" totalsRowShown="0" headerRowDxfId="6" dataDxfId="4" headerRowBorderDxfId="5" tableBorderDxfId="3" totalsRowBorderDxfId="2">
  <autoFilter ref="A1:B6" xr:uid="{305DE779-340C-4C10-A2C6-E418FB5A4B35}"/>
  <tableColumns count="2">
    <tableColumn id="1" xr3:uid="{DB41D142-BE49-4086-9700-E18CE1883D0D}" name="KPI" dataDxfId="1"/>
    <tableColumn id="2" xr3:uid="{FB776C9A-CF69-42A0-A833-E51AAF2453D7}" name="Value" dataDxfId="0">
      <calculatedColumnFormula>SUM(Series_Data[Watch Time (Hours)])</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9BD3-2227-4A57-88E7-ED6484165C30}">
  <dimension ref="A3:B14"/>
  <sheetViews>
    <sheetView workbookViewId="0">
      <selection activeCell="A3" sqref="A3:B14"/>
    </sheetView>
  </sheetViews>
  <sheetFormatPr defaultRowHeight="14.4" x14ac:dyDescent="0.3"/>
  <cols>
    <col min="1" max="1" width="12.5546875" bestFit="1" customWidth="1"/>
    <col min="2" max="2" width="24.44140625" bestFit="1" customWidth="1"/>
  </cols>
  <sheetData>
    <row r="3" spans="1:2" x14ac:dyDescent="0.3">
      <c r="A3" s="15" t="s">
        <v>262</v>
      </c>
      <c r="B3" t="s">
        <v>265</v>
      </c>
    </row>
    <row r="4" spans="1:2" x14ac:dyDescent="0.3">
      <c r="A4" s="16" t="s">
        <v>276</v>
      </c>
      <c r="B4">
        <v>848</v>
      </c>
    </row>
    <row r="5" spans="1:2" x14ac:dyDescent="0.3">
      <c r="A5" s="16" t="s">
        <v>275</v>
      </c>
      <c r="B5">
        <v>215.5</v>
      </c>
    </row>
    <row r="6" spans="1:2" x14ac:dyDescent="0.3">
      <c r="A6" s="16" t="s">
        <v>279</v>
      </c>
      <c r="B6">
        <v>57</v>
      </c>
    </row>
    <row r="7" spans="1:2" x14ac:dyDescent="0.3">
      <c r="A7" s="16" t="s">
        <v>272</v>
      </c>
      <c r="B7">
        <v>75</v>
      </c>
    </row>
    <row r="8" spans="1:2" x14ac:dyDescent="0.3">
      <c r="A8" s="16" t="s">
        <v>280</v>
      </c>
      <c r="B8">
        <v>894.5</v>
      </c>
    </row>
    <row r="9" spans="1:2" x14ac:dyDescent="0.3">
      <c r="A9" s="16" t="s">
        <v>278</v>
      </c>
      <c r="B9">
        <v>38</v>
      </c>
    </row>
    <row r="10" spans="1:2" x14ac:dyDescent="0.3">
      <c r="A10" s="16" t="s">
        <v>277</v>
      </c>
      <c r="B10">
        <v>24</v>
      </c>
    </row>
    <row r="11" spans="1:2" x14ac:dyDescent="0.3">
      <c r="A11" s="16" t="s">
        <v>273</v>
      </c>
      <c r="B11">
        <v>40</v>
      </c>
    </row>
    <row r="12" spans="1:2" x14ac:dyDescent="0.3">
      <c r="A12" s="16" t="s">
        <v>281</v>
      </c>
      <c r="B12">
        <v>449</v>
      </c>
    </row>
    <row r="13" spans="1:2" x14ac:dyDescent="0.3">
      <c r="A13" s="16" t="s">
        <v>274</v>
      </c>
      <c r="B13">
        <v>24</v>
      </c>
    </row>
    <row r="14" spans="1:2" x14ac:dyDescent="0.3">
      <c r="A14" s="16" t="s">
        <v>264</v>
      </c>
      <c r="B14">
        <v>2665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03A4-9E1F-48F4-A901-7453066274DF}">
  <dimension ref="A3:B14"/>
  <sheetViews>
    <sheetView workbookViewId="0">
      <selection activeCell="B5" sqref="A3:B14"/>
    </sheetView>
  </sheetViews>
  <sheetFormatPr defaultRowHeight="14.4" x14ac:dyDescent="0.3"/>
  <cols>
    <col min="1" max="1" width="12.5546875" bestFit="1" customWidth="1"/>
    <col min="2" max="2" width="24.44140625" bestFit="1" customWidth="1"/>
  </cols>
  <sheetData>
    <row r="3" spans="1:2" x14ac:dyDescent="0.3">
      <c r="A3" s="15" t="s">
        <v>262</v>
      </c>
      <c r="B3" t="s">
        <v>265</v>
      </c>
    </row>
    <row r="4" spans="1:2" x14ac:dyDescent="0.3">
      <c r="A4" s="16" t="s">
        <v>274</v>
      </c>
      <c r="B4">
        <v>24</v>
      </c>
    </row>
    <row r="5" spans="1:2" x14ac:dyDescent="0.3">
      <c r="A5" s="16" t="s">
        <v>281</v>
      </c>
      <c r="B5">
        <v>449</v>
      </c>
    </row>
    <row r="6" spans="1:2" x14ac:dyDescent="0.3">
      <c r="A6" s="16" t="s">
        <v>273</v>
      </c>
      <c r="B6">
        <v>40</v>
      </c>
    </row>
    <row r="7" spans="1:2" x14ac:dyDescent="0.3">
      <c r="A7" s="16" t="s">
        <v>277</v>
      </c>
      <c r="B7">
        <v>24</v>
      </c>
    </row>
    <row r="8" spans="1:2" x14ac:dyDescent="0.3">
      <c r="A8" s="16" t="s">
        <v>278</v>
      </c>
      <c r="B8">
        <v>38</v>
      </c>
    </row>
    <row r="9" spans="1:2" x14ac:dyDescent="0.3">
      <c r="A9" s="16" t="s">
        <v>280</v>
      </c>
      <c r="B9">
        <v>894.5</v>
      </c>
    </row>
    <row r="10" spans="1:2" x14ac:dyDescent="0.3">
      <c r="A10" s="16" t="s">
        <v>272</v>
      </c>
      <c r="B10">
        <v>75</v>
      </c>
    </row>
    <row r="11" spans="1:2" x14ac:dyDescent="0.3">
      <c r="A11" s="16" t="s">
        <v>279</v>
      </c>
      <c r="B11">
        <v>57</v>
      </c>
    </row>
    <row r="12" spans="1:2" x14ac:dyDescent="0.3">
      <c r="A12" s="16" t="s">
        <v>275</v>
      </c>
      <c r="B12">
        <v>215.5</v>
      </c>
    </row>
    <row r="13" spans="1:2" x14ac:dyDescent="0.3">
      <c r="A13" s="16" t="s">
        <v>276</v>
      </c>
      <c r="B13">
        <v>848</v>
      </c>
    </row>
    <row r="14" spans="1:2" x14ac:dyDescent="0.3">
      <c r="A14" s="16" t="s">
        <v>264</v>
      </c>
      <c r="B14">
        <v>2665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C3ED-3F8E-49D7-B5AF-420ABD682E88}">
  <dimension ref="A1:O102"/>
  <sheetViews>
    <sheetView tabSelected="1" workbookViewId="0">
      <pane ySplit="1" topLeftCell="A2" activePane="bottomLeft" state="frozen"/>
      <selection pane="bottomLeft" activeCell="G106" sqref="G106"/>
    </sheetView>
  </sheetViews>
  <sheetFormatPr defaultRowHeight="14.4" x14ac:dyDescent="0.3"/>
  <cols>
    <col min="1" max="1" width="10.33203125" bestFit="1" customWidth="1"/>
    <col min="2" max="2" width="22.77734375" bestFit="1" customWidth="1"/>
    <col min="3" max="3" width="9.33203125" bestFit="1" customWidth="1"/>
    <col min="4" max="4" width="10" bestFit="1" customWidth="1"/>
    <col min="5" max="5" width="10.5546875" bestFit="1" customWidth="1"/>
    <col min="6" max="6" width="11" style="1" customWidth="1"/>
    <col min="7" max="7" width="15.5546875" style="2" customWidth="1"/>
    <col min="8" max="8" width="11.6640625" style="2" customWidth="1"/>
    <col min="9" max="9" width="20.6640625" style="1" customWidth="1"/>
    <col min="10" max="10" width="16.44140625" customWidth="1"/>
    <col min="11" max="11" width="22.88671875" style="6" customWidth="1"/>
    <col min="12" max="12" width="16.44140625" customWidth="1"/>
    <col min="13" max="13" width="17.21875" customWidth="1"/>
    <col min="14" max="14" width="14.109375" customWidth="1"/>
    <col min="15" max="15" width="21.44140625" customWidth="1"/>
  </cols>
  <sheetData>
    <row r="1" spans="1:15" x14ac:dyDescent="0.3">
      <c r="A1" t="s">
        <v>0</v>
      </c>
      <c r="B1" t="s">
        <v>1</v>
      </c>
      <c r="C1" t="s">
        <v>2</v>
      </c>
      <c r="D1" t="s">
        <v>3</v>
      </c>
      <c r="E1" t="s">
        <v>4</v>
      </c>
      <c r="F1" s="1" t="s">
        <v>5</v>
      </c>
      <c r="G1" s="2" t="s">
        <v>6</v>
      </c>
      <c r="H1" s="2" t="s">
        <v>7</v>
      </c>
      <c r="I1" s="1" t="s">
        <v>8</v>
      </c>
      <c r="J1" t="s">
        <v>9</v>
      </c>
      <c r="K1" s="8" t="s">
        <v>251</v>
      </c>
      <c r="L1" t="s">
        <v>252</v>
      </c>
      <c r="M1" t="s">
        <v>253</v>
      </c>
      <c r="N1" t="s">
        <v>254</v>
      </c>
      <c r="O1" t="s">
        <v>271</v>
      </c>
    </row>
    <row r="2" spans="1:15" x14ac:dyDescent="0.3">
      <c r="A2" s="3" t="s">
        <v>10</v>
      </c>
      <c r="B2" s="3" t="s">
        <v>11</v>
      </c>
      <c r="C2" s="3" t="s">
        <v>12</v>
      </c>
      <c r="D2" s="3">
        <v>4</v>
      </c>
      <c r="E2" s="3">
        <v>34</v>
      </c>
      <c r="F2" s="4">
        <v>9.1</v>
      </c>
      <c r="G2" s="5">
        <v>46143</v>
      </c>
      <c r="H2" s="5" t="s">
        <v>13</v>
      </c>
      <c r="I2" s="4">
        <v>32.5</v>
      </c>
      <c r="J2" s="3" t="s">
        <v>14</v>
      </c>
      <c r="K2" s="7">
        <f>IFERROR(Series_Data[[#This Row],[Episodes]]/Series_Data[[#This Row],[Seasons]],0)</f>
        <v>8.5</v>
      </c>
      <c r="L2" s="3" t="str">
        <f>IF(Series_Data[[#This Row],[Rating]]&gt;=9,"Excellent",IF(Series_Data[[#This Row],[Rating]]&gt;=8,"Good",IF(Series_Data[[#This Row],[Rating]]&gt;=7,"Avg","Low")))</f>
        <v>Excellent</v>
      </c>
      <c r="M2" s="3" t="str">
        <f>IF(Series_Data[[#This Row],[Watch Time (Hours)]]&gt;=40,"High",IF(Series_Data[[#This Row],[Watch Time (Hours)]]&gt;=20,"Medium","Low"))</f>
        <v>Medium</v>
      </c>
      <c r="N2" s="3" t="str">
        <f>IF(Series_Data[[#This Row],[Seasons]]=1,"Low",IF(Series_Data[[#This Row],[Seasons]]&lt;=3,"Medium","Long"))</f>
        <v>Long</v>
      </c>
      <c r="O2" t="str">
        <f t="shared" ref="O2:O33" si="0">IF(G2="","",IF(ISNUMBER(G2),TEXT(G2,"mmm"),IF(LEFT(G2,4)="2026",TEXT(DATE(LEFT(G2,4),MID(G2,6,2),1),"mmm"),TEXT(DATE(RIGHT(G2,4),MID(G2,4,2),1),"mmm"))))</f>
        <v>May</v>
      </c>
    </row>
    <row r="3" spans="1:15" x14ac:dyDescent="0.3">
      <c r="A3" s="3" t="s">
        <v>15</v>
      </c>
      <c r="B3" s="3" t="s">
        <v>16</v>
      </c>
      <c r="C3" s="3" t="s">
        <v>17</v>
      </c>
      <c r="D3" s="3">
        <v>3</v>
      </c>
      <c r="E3" s="3">
        <v>24</v>
      </c>
      <c r="F3" s="4">
        <v>8.3000000000000007</v>
      </c>
      <c r="G3" s="5">
        <v>46296</v>
      </c>
      <c r="H3" s="5" t="s">
        <v>18</v>
      </c>
      <c r="I3" s="4">
        <v>28</v>
      </c>
      <c r="J3" s="3" t="s">
        <v>14</v>
      </c>
      <c r="K3" s="7">
        <f>IFERROR(Series_Data[[#This Row],[Episodes]]/Series_Data[[#This Row],[Seasons]],0)</f>
        <v>8</v>
      </c>
      <c r="L3" s="3" t="str">
        <f>IF(Series_Data[[#This Row],[Rating]]&gt;=9,"Excellent",IF(Series_Data[[#This Row],[Rating]]&gt;=8,"Good",IF(Series_Data[[#This Row],[Rating]]&gt;=7,"Avg","Low")))</f>
        <v>Good</v>
      </c>
      <c r="M3" s="3" t="str">
        <f>IF(Series_Data[[#This Row],[Watch Time (Hours)]]&gt;=40,"High",IF(Series_Data[[#This Row],[Watch Time (Hours)]]&gt;=20,"Medium","Low"))</f>
        <v>Medium</v>
      </c>
      <c r="N3" s="3" t="str">
        <f>IF(Series_Data[[#This Row],[Seasons]]=1,"Low",IF(Series_Data[[#This Row],[Seasons]]&lt;=3,"Medium","Long"))</f>
        <v>Medium</v>
      </c>
      <c r="O3" t="str">
        <f t="shared" si="0"/>
        <v>Oct</v>
      </c>
    </row>
    <row r="4" spans="1:15" x14ac:dyDescent="0.3">
      <c r="A4" s="3" t="s">
        <v>19</v>
      </c>
      <c r="B4" s="3" t="s">
        <v>20</v>
      </c>
      <c r="C4" s="3" t="s">
        <v>21</v>
      </c>
      <c r="D4" s="3">
        <v>5</v>
      </c>
      <c r="E4" s="3">
        <v>41</v>
      </c>
      <c r="F4" s="4">
        <v>8.6999999999999993</v>
      </c>
      <c r="G4" s="5">
        <v>46055</v>
      </c>
      <c r="H4" s="5" t="s">
        <v>22</v>
      </c>
      <c r="I4" s="4">
        <v>26</v>
      </c>
      <c r="J4" s="3" t="s">
        <v>14</v>
      </c>
      <c r="K4" s="7">
        <f>IFERROR(Series_Data[[#This Row],[Episodes]]/Series_Data[[#This Row],[Seasons]],0)</f>
        <v>8.1999999999999993</v>
      </c>
      <c r="L4" s="3" t="str">
        <f>IF(Series_Data[[#This Row],[Rating]]&gt;=9,"Excellent",IF(Series_Data[[#This Row],[Rating]]&gt;=8,"Good",IF(Series_Data[[#This Row],[Rating]]&gt;=7,"Avg","Low")))</f>
        <v>Good</v>
      </c>
      <c r="M4" s="3" t="str">
        <f>IF(Series_Data[[#This Row],[Watch Time (Hours)]]&gt;=40,"High",IF(Series_Data[[#This Row],[Watch Time (Hours)]]&gt;=20,"Medium","Low"))</f>
        <v>Medium</v>
      </c>
      <c r="N4" s="3" t="str">
        <f>IF(Series_Data[[#This Row],[Seasons]]=1,"Low",IF(Series_Data[[#This Row],[Seasons]]&lt;=3,"Medium","Long"))</f>
        <v>Long</v>
      </c>
      <c r="O4" t="str">
        <f t="shared" si="0"/>
        <v>Feb</v>
      </c>
    </row>
    <row r="5" spans="1:15" x14ac:dyDescent="0.3">
      <c r="A5" s="3" t="s">
        <v>23</v>
      </c>
      <c r="B5" s="3" t="s">
        <v>24</v>
      </c>
      <c r="C5" s="3" t="s">
        <v>25</v>
      </c>
      <c r="D5" s="3">
        <v>1</v>
      </c>
      <c r="E5" s="3">
        <v>7</v>
      </c>
      <c r="F5" s="4">
        <v>8.6</v>
      </c>
      <c r="G5" s="5" t="s">
        <v>26</v>
      </c>
      <c r="H5" s="5" t="s">
        <v>27</v>
      </c>
      <c r="I5" s="4">
        <v>10.5</v>
      </c>
      <c r="J5" s="3" t="s">
        <v>14</v>
      </c>
      <c r="K5" s="7">
        <f>IFERROR(Series_Data[[#This Row],[Episodes]]/Series_Data[[#This Row],[Seasons]],0)</f>
        <v>7</v>
      </c>
      <c r="L5" s="3" t="str">
        <f>IF(Series_Data[[#This Row],[Rating]]&gt;=9,"Excellent",IF(Series_Data[[#This Row],[Rating]]&gt;=8,"Good",IF(Series_Data[[#This Row],[Rating]]&gt;=7,"Avg","Low")))</f>
        <v>Good</v>
      </c>
      <c r="M5" s="3" t="str">
        <f>IF(Series_Data[[#This Row],[Watch Time (Hours)]]&gt;=40,"High",IF(Series_Data[[#This Row],[Watch Time (Hours)]]&gt;=20,"Medium","Low"))</f>
        <v>Low</v>
      </c>
      <c r="N5" s="3" t="str">
        <f>IF(Series_Data[[#This Row],[Seasons]]=1,"Low",IF(Series_Data[[#This Row],[Seasons]]&lt;=3,"Medium","Long"))</f>
        <v>Low</v>
      </c>
      <c r="O5" t="str">
        <f t="shared" si="0"/>
        <v>Feb</v>
      </c>
    </row>
    <row r="6" spans="1:15" x14ac:dyDescent="0.3">
      <c r="A6" s="3" t="s">
        <v>28</v>
      </c>
      <c r="B6" s="3" t="s">
        <v>29</v>
      </c>
      <c r="C6" s="3" t="s">
        <v>12</v>
      </c>
      <c r="D6" s="3">
        <v>3</v>
      </c>
      <c r="E6" s="3">
        <v>26</v>
      </c>
      <c r="F6" s="4">
        <v>8.8000000000000007</v>
      </c>
      <c r="G6" s="5">
        <v>46025</v>
      </c>
      <c r="H6" s="5" t="s">
        <v>30</v>
      </c>
      <c r="I6" s="4">
        <v>29</v>
      </c>
      <c r="J6" s="3" t="s">
        <v>14</v>
      </c>
      <c r="K6" s="7">
        <f>IFERROR(Series_Data[[#This Row],[Episodes]]/Series_Data[[#This Row],[Seasons]],0)</f>
        <v>8.6666666666666661</v>
      </c>
      <c r="L6" s="3" t="str">
        <f>IF(Series_Data[[#This Row],[Rating]]&gt;=9,"Excellent",IF(Series_Data[[#This Row],[Rating]]&gt;=8,"Good",IF(Series_Data[[#This Row],[Rating]]&gt;=7,"Avg","Low")))</f>
        <v>Good</v>
      </c>
      <c r="M6" s="3" t="str">
        <f>IF(Series_Data[[#This Row],[Watch Time (Hours)]]&gt;=40,"High",IF(Series_Data[[#This Row],[Watch Time (Hours)]]&gt;=20,"Medium","Low"))</f>
        <v>Medium</v>
      </c>
      <c r="N6" s="3" t="str">
        <f>IF(Series_Data[[#This Row],[Seasons]]=1,"Low",IF(Series_Data[[#This Row],[Seasons]]&lt;=3,"Medium","Long"))</f>
        <v>Medium</v>
      </c>
      <c r="O6" t="str">
        <f t="shared" si="0"/>
        <v>Jan</v>
      </c>
    </row>
    <row r="7" spans="1:15" x14ac:dyDescent="0.3">
      <c r="A7" s="3" t="s">
        <v>31</v>
      </c>
      <c r="B7" s="3" t="s">
        <v>32</v>
      </c>
      <c r="C7" s="3" t="s">
        <v>21</v>
      </c>
      <c r="D7" s="3">
        <v>5</v>
      </c>
      <c r="E7" s="3">
        <v>62</v>
      </c>
      <c r="F7" s="4">
        <v>9.5</v>
      </c>
      <c r="G7" s="5">
        <v>46145</v>
      </c>
      <c r="H7" s="5" t="s">
        <v>33</v>
      </c>
      <c r="I7" s="4">
        <v>46</v>
      </c>
      <c r="J7" s="3" t="s">
        <v>14</v>
      </c>
      <c r="K7" s="7">
        <f>IFERROR(Series_Data[[#This Row],[Episodes]]/Series_Data[[#This Row],[Seasons]],0)</f>
        <v>12.4</v>
      </c>
      <c r="L7" s="3" t="str">
        <f>IF(Series_Data[[#This Row],[Rating]]&gt;=9,"Excellent",IF(Series_Data[[#This Row],[Rating]]&gt;=8,"Good",IF(Series_Data[[#This Row],[Rating]]&gt;=7,"Avg","Low")))</f>
        <v>Excellent</v>
      </c>
      <c r="M7" s="3" t="str">
        <f>IF(Series_Data[[#This Row],[Watch Time (Hours)]]&gt;=40,"High",IF(Series_Data[[#This Row],[Watch Time (Hours)]]&gt;=20,"Medium","Low"))</f>
        <v>High</v>
      </c>
      <c r="N7" s="3" t="str">
        <f>IF(Series_Data[[#This Row],[Seasons]]=1,"Low",IF(Series_Data[[#This Row],[Seasons]]&lt;=3,"Medium","Long"))</f>
        <v>Long</v>
      </c>
      <c r="O7" t="str">
        <f t="shared" si="0"/>
        <v>May</v>
      </c>
    </row>
    <row r="8" spans="1:15" x14ac:dyDescent="0.3">
      <c r="A8" s="3" t="s">
        <v>34</v>
      </c>
      <c r="B8" s="3" t="s">
        <v>35</v>
      </c>
      <c r="C8" s="3" t="s">
        <v>12</v>
      </c>
      <c r="D8" s="3">
        <v>6</v>
      </c>
      <c r="E8" s="3">
        <v>27</v>
      </c>
      <c r="F8" s="4">
        <v>8.6999999999999993</v>
      </c>
      <c r="G8" s="5">
        <v>46057</v>
      </c>
      <c r="H8" s="5" t="s">
        <v>36</v>
      </c>
      <c r="I8" s="4">
        <v>15</v>
      </c>
      <c r="J8" s="3" t="s">
        <v>14</v>
      </c>
      <c r="K8" s="7">
        <f>IFERROR(Series_Data[[#This Row],[Episodes]]/Series_Data[[#This Row],[Seasons]],0)</f>
        <v>4.5</v>
      </c>
      <c r="L8" s="3" t="str">
        <f>IF(Series_Data[[#This Row],[Rating]]&gt;=9,"Excellent",IF(Series_Data[[#This Row],[Rating]]&gt;=8,"Good",IF(Series_Data[[#This Row],[Rating]]&gt;=7,"Avg","Low")))</f>
        <v>Good</v>
      </c>
      <c r="M8" s="9" t="str">
        <f>IF(Series_Data[[#This Row],[Watch Time (Hours)]]&gt;=40,"High",IF(Series_Data[[#This Row],[Watch Time (Hours)]]&gt;=20,"Medium","Low"))</f>
        <v>Low</v>
      </c>
      <c r="N8" s="3" t="str">
        <f>IF(Series_Data[[#This Row],[Seasons]]=1,"Low",IF(Series_Data[[#This Row],[Seasons]]&lt;=3,"Medium","Long"))</f>
        <v>Long</v>
      </c>
      <c r="O8" t="str">
        <f t="shared" si="0"/>
        <v>Feb</v>
      </c>
    </row>
    <row r="9" spans="1:15" x14ac:dyDescent="0.3">
      <c r="A9" s="3" t="s">
        <v>37</v>
      </c>
      <c r="B9" s="3" t="s">
        <v>38</v>
      </c>
      <c r="C9" s="3" t="s">
        <v>17</v>
      </c>
      <c r="D9" s="3">
        <v>6</v>
      </c>
      <c r="E9" s="3">
        <v>93</v>
      </c>
      <c r="F9" s="4">
        <v>8.1</v>
      </c>
      <c r="G9" s="5">
        <v>46299</v>
      </c>
      <c r="H9" s="5" t="s">
        <v>39</v>
      </c>
      <c r="I9" s="4">
        <v>42</v>
      </c>
      <c r="J9" s="3" t="s">
        <v>14</v>
      </c>
      <c r="K9" s="7">
        <f>IFERROR(Series_Data[[#This Row],[Episodes]]/Series_Data[[#This Row],[Seasons]],0)</f>
        <v>15.5</v>
      </c>
      <c r="L9" s="3" t="str">
        <f>IF(Series_Data[[#This Row],[Rating]]&gt;=9,"Excellent",IF(Series_Data[[#This Row],[Rating]]&gt;=8,"Good",IF(Series_Data[[#This Row],[Rating]]&gt;=7,"Avg","Low")))</f>
        <v>Good</v>
      </c>
      <c r="M9" s="3" t="str">
        <f>IF(Series_Data[[#This Row],[Watch Time (Hours)]]&gt;=40,"High",IF(Series_Data[[#This Row],[Watch Time (Hours)]]&gt;=20,"Medium","Low"))</f>
        <v>High</v>
      </c>
      <c r="N9" s="3" t="str">
        <f>IF(Series_Data[[#This Row],[Seasons]]=1,"Low",IF(Series_Data[[#This Row],[Seasons]]&lt;=3,"Medium","Long"))</f>
        <v>Long</v>
      </c>
      <c r="O9" t="str">
        <f t="shared" si="0"/>
        <v>Oct</v>
      </c>
    </row>
    <row r="10" spans="1:15" x14ac:dyDescent="0.3">
      <c r="A10" s="3" t="s">
        <v>40</v>
      </c>
      <c r="B10" s="3" t="s">
        <v>41</v>
      </c>
      <c r="C10" s="3" t="s">
        <v>21</v>
      </c>
      <c r="D10" s="3">
        <v>6</v>
      </c>
      <c r="E10" s="3">
        <v>36</v>
      </c>
      <c r="F10" s="4">
        <v>8.6</v>
      </c>
      <c r="G10" s="5">
        <v>46027</v>
      </c>
      <c r="H10" s="5" t="s">
        <v>42</v>
      </c>
      <c r="I10" s="4">
        <v>24</v>
      </c>
      <c r="J10" s="3" t="s">
        <v>14</v>
      </c>
      <c r="K10" s="7">
        <f>IFERROR(Series_Data[[#This Row],[Episodes]]/Series_Data[[#This Row],[Seasons]],0)</f>
        <v>6</v>
      </c>
      <c r="L10" s="3" t="str">
        <f>IF(Series_Data[[#This Row],[Rating]]&gt;=9,"Excellent",IF(Series_Data[[#This Row],[Rating]]&gt;=8,"Good",IF(Series_Data[[#This Row],[Rating]]&gt;=7,"Avg","Low")))</f>
        <v>Good</v>
      </c>
      <c r="M10" s="3" t="str">
        <f>IF(Series_Data[[#This Row],[Watch Time (Hours)]]&gt;=40,"High",IF(Series_Data[[#This Row],[Watch Time (Hours)]]&gt;=20,"Medium","Low"))</f>
        <v>Medium</v>
      </c>
      <c r="N10" s="3" t="str">
        <f>IF(Series_Data[[#This Row],[Seasons]]=1,"Low",IF(Series_Data[[#This Row],[Seasons]]&lt;=3,"Medium","Long"))</f>
        <v>Long</v>
      </c>
      <c r="O10" t="str">
        <f t="shared" si="0"/>
        <v>Jan</v>
      </c>
    </row>
    <row r="11" spans="1:15" x14ac:dyDescent="0.3">
      <c r="A11" s="3" t="s">
        <v>43</v>
      </c>
      <c r="B11" s="3" t="s">
        <v>44</v>
      </c>
      <c r="C11" s="3" t="s">
        <v>45</v>
      </c>
      <c r="D11" s="3">
        <v>2</v>
      </c>
      <c r="E11" s="3">
        <v>16</v>
      </c>
      <c r="F11" s="4">
        <v>8</v>
      </c>
      <c r="G11" s="5">
        <v>46147</v>
      </c>
      <c r="H11" s="5" t="s">
        <v>46</v>
      </c>
      <c r="I11" s="4">
        <v>13</v>
      </c>
      <c r="J11" s="3" t="s">
        <v>14</v>
      </c>
      <c r="K11" s="7">
        <f>IFERROR(Series_Data[[#This Row],[Episodes]]/Series_Data[[#This Row],[Seasons]],0)</f>
        <v>8</v>
      </c>
      <c r="L11" s="3" t="str">
        <f>IF(Series_Data[[#This Row],[Rating]]&gt;=9,"Excellent",IF(Series_Data[[#This Row],[Rating]]&gt;=8,"Good",IF(Series_Data[[#This Row],[Rating]]&gt;=7,"Avg","Low")))</f>
        <v>Good</v>
      </c>
      <c r="M11" s="3" t="str">
        <f>IF(Series_Data[[#This Row],[Watch Time (Hours)]]&gt;=40,"High",IF(Series_Data[[#This Row],[Watch Time (Hours)]]&gt;=20,"Medium","Low"))</f>
        <v>Low</v>
      </c>
      <c r="N11" s="3" t="str">
        <f>IF(Series_Data[[#This Row],[Seasons]]=1,"Low",IF(Series_Data[[#This Row],[Seasons]]&lt;=3,"Medium","Long"))</f>
        <v>Medium</v>
      </c>
      <c r="O11" t="str">
        <f t="shared" si="0"/>
        <v>May</v>
      </c>
    </row>
    <row r="12" spans="1:15" x14ac:dyDescent="0.3">
      <c r="A12" s="3" t="s">
        <v>47</v>
      </c>
      <c r="B12" s="3" t="s">
        <v>48</v>
      </c>
      <c r="C12" s="3" t="s">
        <v>49</v>
      </c>
      <c r="D12" s="3">
        <v>4</v>
      </c>
      <c r="E12" s="3">
        <v>32</v>
      </c>
      <c r="F12" s="4">
        <v>8.6999999999999993</v>
      </c>
      <c r="G12" s="5">
        <v>46028</v>
      </c>
      <c r="H12" s="5" t="s">
        <v>50</v>
      </c>
      <c r="I12" s="4">
        <v>30</v>
      </c>
      <c r="J12" s="3" t="s">
        <v>14</v>
      </c>
      <c r="K12" s="7">
        <f>IFERROR(Series_Data[[#This Row],[Episodes]]/Series_Data[[#This Row],[Seasons]],0)</f>
        <v>8</v>
      </c>
      <c r="L12" s="3" t="str">
        <f>IF(Series_Data[[#This Row],[Rating]]&gt;=9,"Excellent",IF(Series_Data[[#This Row],[Rating]]&gt;=8,"Good",IF(Series_Data[[#This Row],[Rating]]&gt;=7,"Avg","Low")))</f>
        <v>Good</v>
      </c>
      <c r="M12" s="3" t="str">
        <f>IF(Series_Data[[#This Row],[Watch Time (Hours)]]&gt;=40,"High",IF(Series_Data[[#This Row],[Watch Time (Hours)]]&gt;=20,"Medium","Low"))</f>
        <v>Medium</v>
      </c>
      <c r="N12" s="3" t="str">
        <f>IF(Series_Data[[#This Row],[Seasons]]=1,"Low",IF(Series_Data[[#This Row],[Seasons]]&lt;=3,"Medium","Long"))</f>
        <v>Long</v>
      </c>
      <c r="O12" t="str">
        <f t="shared" si="0"/>
        <v>Jan</v>
      </c>
    </row>
    <row r="13" spans="1:15" x14ac:dyDescent="0.3">
      <c r="A13" s="3" t="s">
        <v>51</v>
      </c>
      <c r="B13" s="3" t="s">
        <v>52</v>
      </c>
      <c r="C13" s="3" t="s">
        <v>53</v>
      </c>
      <c r="D13" s="3">
        <v>1</v>
      </c>
      <c r="E13" s="3">
        <v>8</v>
      </c>
      <c r="F13" s="4">
        <v>8</v>
      </c>
      <c r="G13" s="5">
        <v>46148</v>
      </c>
      <c r="H13" s="5">
        <v>46301</v>
      </c>
      <c r="I13" s="4">
        <v>8.5</v>
      </c>
      <c r="J13" s="3" t="s">
        <v>14</v>
      </c>
      <c r="K13" s="7">
        <f>IFERROR(Series_Data[[#This Row],[Episodes]]/Series_Data[[#This Row],[Seasons]],0)</f>
        <v>8</v>
      </c>
      <c r="L13" s="3" t="str">
        <f>IF(Series_Data[[#This Row],[Rating]]&gt;=9,"Excellent",IF(Series_Data[[#This Row],[Rating]]&gt;=8,"Good",IF(Series_Data[[#This Row],[Rating]]&gt;=7,"Avg","Low")))</f>
        <v>Good</v>
      </c>
      <c r="M13" s="3" t="str">
        <f>IF(Series_Data[[#This Row],[Watch Time (Hours)]]&gt;=40,"High",IF(Series_Data[[#This Row],[Watch Time (Hours)]]&gt;=20,"Medium","Low"))</f>
        <v>Low</v>
      </c>
      <c r="N13" s="3" t="str">
        <f>IF(Series_Data[[#This Row],[Seasons]]=1,"Low",IF(Series_Data[[#This Row],[Seasons]]&lt;=3,"Medium","Long"))</f>
        <v>Low</v>
      </c>
      <c r="O13" t="str">
        <f t="shared" si="0"/>
        <v>May</v>
      </c>
    </row>
    <row r="14" spans="1:15" x14ac:dyDescent="0.3">
      <c r="A14" s="3" t="s">
        <v>54</v>
      </c>
      <c r="B14" s="3" t="s">
        <v>55</v>
      </c>
      <c r="C14" s="3" t="s">
        <v>25</v>
      </c>
      <c r="D14" s="3">
        <v>6</v>
      </c>
      <c r="E14" s="3">
        <v>89</v>
      </c>
      <c r="F14" s="4">
        <v>8.5</v>
      </c>
      <c r="G14" s="5" t="s">
        <v>56</v>
      </c>
      <c r="H14" s="5" t="s">
        <v>57</v>
      </c>
      <c r="I14" s="4">
        <v>38</v>
      </c>
      <c r="J14" s="3" t="s">
        <v>14</v>
      </c>
      <c r="K14" s="7">
        <f>IFERROR(Series_Data[[#This Row],[Episodes]]/Series_Data[[#This Row],[Seasons]],0)</f>
        <v>14.833333333333334</v>
      </c>
      <c r="L14" s="3" t="str">
        <f>IF(Series_Data[[#This Row],[Rating]]&gt;=9,"Excellent",IF(Series_Data[[#This Row],[Rating]]&gt;=8,"Good",IF(Series_Data[[#This Row],[Rating]]&gt;=7,"Avg","Low")))</f>
        <v>Good</v>
      </c>
      <c r="M14" s="3" t="str">
        <f>IF(Series_Data[[#This Row],[Watch Time (Hours)]]&gt;=40,"High",IF(Series_Data[[#This Row],[Watch Time (Hours)]]&gt;=20,"Medium","Low"))</f>
        <v>Medium</v>
      </c>
      <c r="N14" s="3" t="str">
        <f>IF(Series_Data[[#This Row],[Seasons]]=1,"Low",IF(Series_Data[[#This Row],[Seasons]]&lt;=3,"Medium","Long"))</f>
        <v>Long</v>
      </c>
      <c r="O14" t="str">
        <f t="shared" si="0"/>
        <v>Jun</v>
      </c>
    </row>
    <row r="15" spans="1:15" x14ac:dyDescent="0.3">
      <c r="A15" s="3" t="s">
        <v>58</v>
      </c>
      <c r="B15" s="3" t="s">
        <v>59</v>
      </c>
      <c r="C15" s="3" t="s">
        <v>49</v>
      </c>
      <c r="D15" s="3">
        <v>2</v>
      </c>
      <c r="E15" s="3">
        <v>12</v>
      </c>
      <c r="F15" s="4">
        <v>8.1999999999999993</v>
      </c>
      <c r="G15" s="5">
        <v>46060</v>
      </c>
      <c r="H15" s="5">
        <v>46302</v>
      </c>
      <c r="I15" s="4">
        <v>12</v>
      </c>
      <c r="J15" s="3" t="s">
        <v>14</v>
      </c>
      <c r="K15" s="7">
        <f>IFERROR(Series_Data[[#This Row],[Episodes]]/Series_Data[[#This Row],[Seasons]],0)</f>
        <v>6</v>
      </c>
      <c r="L15" s="3" t="str">
        <f>IF(Series_Data[[#This Row],[Rating]]&gt;=9,"Excellent",IF(Series_Data[[#This Row],[Rating]]&gt;=8,"Good",IF(Series_Data[[#This Row],[Rating]]&gt;=7,"Avg","Low")))</f>
        <v>Good</v>
      </c>
      <c r="M15" s="3" t="str">
        <f>IF(Series_Data[[#This Row],[Watch Time (Hours)]]&gt;=40,"High",IF(Series_Data[[#This Row],[Watch Time (Hours)]]&gt;=20,"Medium","Low"))</f>
        <v>Low</v>
      </c>
      <c r="N15" s="3" t="str">
        <f>IF(Series_Data[[#This Row],[Seasons]]=1,"Low",IF(Series_Data[[#This Row],[Seasons]]&lt;=3,"Medium","Long"))</f>
        <v>Medium</v>
      </c>
      <c r="O15" t="str">
        <f t="shared" si="0"/>
        <v>Feb</v>
      </c>
    </row>
    <row r="16" spans="1:15" x14ac:dyDescent="0.3">
      <c r="A16" s="3" t="s">
        <v>60</v>
      </c>
      <c r="B16" s="3" t="s">
        <v>61</v>
      </c>
      <c r="C16" s="3" t="s">
        <v>62</v>
      </c>
      <c r="D16" s="3">
        <v>2</v>
      </c>
      <c r="E16" s="3">
        <v>18</v>
      </c>
      <c r="F16" s="4">
        <v>9</v>
      </c>
      <c r="G16" s="5">
        <v>46149</v>
      </c>
      <c r="H16" s="5" t="s">
        <v>63</v>
      </c>
      <c r="I16" s="4">
        <v>15.5</v>
      </c>
      <c r="J16" s="3" t="s">
        <v>14</v>
      </c>
      <c r="K16" s="7">
        <f>IFERROR(Series_Data[[#This Row],[Episodes]]/Series_Data[[#This Row],[Seasons]],0)</f>
        <v>9</v>
      </c>
      <c r="L16" s="3" t="str">
        <f>IF(Series_Data[[#This Row],[Rating]]&gt;=9,"Excellent",IF(Series_Data[[#This Row],[Rating]]&gt;=8,"Good",IF(Series_Data[[#This Row],[Rating]]&gt;=7,"Avg","Low")))</f>
        <v>Excellent</v>
      </c>
      <c r="M16" s="3" t="str">
        <f>IF(Series_Data[[#This Row],[Watch Time (Hours)]]&gt;=40,"High",IF(Series_Data[[#This Row],[Watch Time (Hours)]]&gt;=20,"Medium","Low"))</f>
        <v>Low</v>
      </c>
      <c r="N16" s="3" t="str">
        <f>IF(Series_Data[[#This Row],[Seasons]]=1,"Low",IF(Series_Data[[#This Row],[Seasons]]&lt;=3,"Medium","Long"))</f>
        <v>Medium</v>
      </c>
      <c r="O16" t="str">
        <f t="shared" si="0"/>
        <v>May</v>
      </c>
    </row>
    <row r="17" spans="1:15" x14ac:dyDescent="0.3">
      <c r="A17" s="3" t="s">
        <v>64</v>
      </c>
      <c r="B17" s="3" t="s">
        <v>65</v>
      </c>
      <c r="C17" s="3" t="s">
        <v>66</v>
      </c>
      <c r="D17" s="3">
        <v>3</v>
      </c>
      <c r="E17" s="3">
        <v>24</v>
      </c>
      <c r="F17" s="4">
        <v>8.1999999999999993</v>
      </c>
      <c r="G17" s="5">
        <v>46030</v>
      </c>
      <c r="H17" s="5" t="s">
        <v>67</v>
      </c>
      <c r="I17" s="4">
        <v>22</v>
      </c>
      <c r="J17" s="3" t="s">
        <v>14</v>
      </c>
      <c r="K17" s="7">
        <f>IFERROR(Series_Data[[#This Row],[Episodes]]/Series_Data[[#This Row],[Seasons]],0)</f>
        <v>8</v>
      </c>
      <c r="L17" s="3" t="str">
        <f>IF(Series_Data[[#This Row],[Rating]]&gt;=9,"Excellent",IF(Series_Data[[#This Row],[Rating]]&gt;=8,"Good",IF(Series_Data[[#This Row],[Rating]]&gt;=7,"Avg","Low")))</f>
        <v>Good</v>
      </c>
      <c r="M17" s="3" t="str">
        <f>IF(Series_Data[[#This Row],[Watch Time (Hours)]]&gt;=40,"High",IF(Series_Data[[#This Row],[Watch Time (Hours)]]&gt;=20,"Medium","Low"))</f>
        <v>Medium</v>
      </c>
      <c r="N17" s="3" t="str">
        <f>IF(Series_Data[[#This Row],[Seasons]]=1,"Low",IF(Series_Data[[#This Row],[Seasons]]&lt;=3,"Medium","Long"))</f>
        <v>Medium</v>
      </c>
      <c r="O17" t="str">
        <f t="shared" si="0"/>
        <v>Jan</v>
      </c>
    </row>
    <row r="18" spans="1:15" x14ac:dyDescent="0.3">
      <c r="A18" s="3" t="s">
        <v>68</v>
      </c>
      <c r="B18" s="3" t="s">
        <v>69</v>
      </c>
      <c r="C18" s="3" t="s">
        <v>25</v>
      </c>
      <c r="D18" s="3">
        <v>1</v>
      </c>
      <c r="E18" s="3">
        <v>9</v>
      </c>
      <c r="F18" s="4">
        <v>8.8000000000000007</v>
      </c>
      <c r="G18" s="5">
        <v>46089</v>
      </c>
      <c r="H18" s="5">
        <v>46364</v>
      </c>
      <c r="I18" s="4">
        <v>10</v>
      </c>
      <c r="J18" s="3" t="s">
        <v>70</v>
      </c>
      <c r="K18" s="7">
        <f>IFERROR(Series_Data[[#This Row],[Episodes]]/Series_Data[[#This Row],[Seasons]],0)</f>
        <v>9</v>
      </c>
      <c r="L18" s="3" t="str">
        <f>IF(Series_Data[[#This Row],[Rating]]&gt;=9,"Excellent",IF(Series_Data[[#This Row],[Rating]]&gt;=8,"Good",IF(Series_Data[[#This Row],[Rating]]&gt;=7,"Avg","Low")))</f>
        <v>Good</v>
      </c>
      <c r="M18" s="3" t="str">
        <f>IF(Series_Data[[#This Row],[Watch Time (Hours)]]&gt;=40,"High",IF(Series_Data[[#This Row],[Watch Time (Hours)]]&gt;=20,"Medium","Low"))</f>
        <v>Low</v>
      </c>
      <c r="N18" s="3" t="str">
        <f>IF(Series_Data[[#This Row],[Seasons]]=1,"Low",IF(Series_Data[[#This Row],[Seasons]]&lt;=3,"Medium","Long"))</f>
        <v>Low</v>
      </c>
      <c r="O18" t="str">
        <f t="shared" si="0"/>
        <v>Mar</v>
      </c>
    </row>
    <row r="19" spans="1:15" x14ac:dyDescent="0.3">
      <c r="A19" s="3" t="s">
        <v>71</v>
      </c>
      <c r="B19" s="3" t="s">
        <v>72</v>
      </c>
      <c r="C19" s="3" t="s">
        <v>17</v>
      </c>
      <c r="D19" s="3">
        <v>2</v>
      </c>
      <c r="E19" s="3">
        <v>18</v>
      </c>
      <c r="F19" s="4">
        <v>8.4</v>
      </c>
      <c r="G19" s="5">
        <v>46150</v>
      </c>
      <c r="H19" s="5"/>
      <c r="I19" s="4">
        <v>14</v>
      </c>
      <c r="J19" s="3" t="s">
        <v>70</v>
      </c>
      <c r="K19" s="7">
        <f>IFERROR(Series_Data[[#This Row],[Episodes]]/Series_Data[[#This Row],[Seasons]],0)</f>
        <v>9</v>
      </c>
      <c r="L19" s="3" t="str">
        <f>IF(Series_Data[[#This Row],[Rating]]&gt;=9,"Excellent",IF(Series_Data[[#This Row],[Rating]]&gt;=8,"Good",IF(Series_Data[[#This Row],[Rating]]&gt;=7,"Avg","Low")))</f>
        <v>Good</v>
      </c>
      <c r="M19" s="3" t="str">
        <f>IF(Series_Data[[#This Row],[Watch Time (Hours)]]&gt;=40,"High",IF(Series_Data[[#This Row],[Watch Time (Hours)]]&gt;=20,"Medium","Low"))</f>
        <v>Low</v>
      </c>
      <c r="N19" s="3" t="str">
        <f>IF(Series_Data[[#This Row],[Seasons]]=1,"Low",IF(Series_Data[[#This Row],[Seasons]]&lt;=3,"Medium","Long"))</f>
        <v>Medium</v>
      </c>
      <c r="O19" t="str">
        <f t="shared" si="0"/>
        <v>May</v>
      </c>
    </row>
    <row r="20" spans="1:15" x14ac:dyDescent="0.3">
      <c r="A20" s="3" t="s">
        <v>73</v>
      </c>
      <c r="B20" s="3" t="s">
        <v>74</v>
      </c>
      <c r="C20" s="3" t="s">
        <v>75</v>
      </c>
      <c r="D20" s="3">
        <v>1</v>
      </c>
      <c r="E20" s="3">
        <v>8</v>
      </c>
      <c r="F20" s="4">
        <v>8.3000000000000007</v>
      </c>
      <c r="G20" s="5">
        <v>46242</v>
      </c>
      <c r="H20" s="5"/>
      <c r="I20" s="4">
        <v>8</v>
      </c>
      <c r="J20" s="3" t="s">
        <v>70</v>
      </c>
      <c r="K20" s="7">
        <f>IFERROR(Series_Data[[#This Row],[Episodes]]/Series_Data[[#This Row],[Seasons]],0)</f>
        <v>8</v>
      </c>
      <c r="L20" s="3" t="str">
        <f>IF(Series_Data[[#This Row],[Rating]]&gt;=9,"Excellent",IF(Series_Data[[#This Row],[Rating]]&gt;=8,"Good",IF(Series_Data[[#This Row],[Rating]]&gt;=7,"Avg","Low")))</f>
        <v>Good</v>
      </c>
      <c r="M20" s="3" t="str">
        <f>IF(Series_Data[[#This Row],[Watch Time (Hours)]]&gt;=40,"High",IF(Series_Data[[#This Row],[Watch Time (Hours)]]&gt;=20,"Medium","Low"))</f>
        <v>Low</v>
      </c>
      <c r="N20" s="3" t="str">
        <f>IF(Series_Data[[#This Row],[Seasons]]=1,"Low",IF(Series_Data[[#This Row],[Seasons]]&lt;=3,"Medium","Long"))</f>
        <v>Low</v>
      </c>
      <c r="O20" t="str">
        <f t="shared" si="0"/>
        <v>Aug</v>
      </c>
    </row>
    <row r="21" spans="1:15" x14ac:dyDescent="0.3">
      <c r="A21" s="3" t="s">
        <v>76</v>
      </c>
      <c r="B21" s="3" t="s">
        <v>77</v>
      </c>
      <c r="C21" s="3" t="s">
        <v>12</v>
      </c>
      <c r="D21" s="3">
        <v>4</v>
      </c>
      <c r="E21" s="3">
        <v>36</v>
      </c>
      <c r="F21" s="4">
        <v>7.8</v>
      </c>
      <c r="G21" s="5">
        <v>46303</v>
      </c>
      <c r="H21" s="5"/>
      <c r="I21" s="4">
        <v>18</v>
      </c>
      <c r="J21" s="3" t="s">
        <v>70</v>
      </c>
      <c r="K21" s="7">
        <f>IFERROR(Series_Data[[#This Row],[Episodes]]/Series_Data[[#This Row],[Seasons]],0)</f>
        <v>9</v>
      </c>
      <c r="L21" s="3" t="str">
        <f>IF(Series_Data[[#This Row],[Rating]]&gt;=9,"Excellent",IF(Series_Data[[#This Row],[Rating]]&gt;=8,"Good",IF(Series_Data[[#This Row],[Rating]]&gt;=7,"Avg","Low")))</f>
        <v>Avg</v>
      </c>
      <c r="M21" s="3" t="str">
        <f>IF(Series_Data[[#This Row],[Watch Time (Hours)]]&gt;=40,"High",IF(Series_Data[[#This Row],[Watch Time (Hours)]]&gt;=20,"Medium","Low"))</f>
        <v>Low</v>
      </c>
      <c r="N21" s="3" t="str">
        <f>IF(Series_Data[[#This Row],[Seasons]]=1,"Low",IF(Series_Data[[#This Row],[Seasons]]&lt;=3,"Medium","Long"))</f>
        <v>Long</v>
      </c>
      <c r="O21" t="str">
        <f t="shared" si="0"/>
        <v>Oct</v>
      </c>
    </row>
    <row r="22" spans="1:15" x14ac:dyDescent="0.3">
      <c r="A22" s="3" t="s">
        <v>78</v>
      </c>
      <c r="B22" s="3" t="s">
        <v>79</v>
      </c>
      <c r="C22" s="3" t="s">
        <v>45</v>
      </c>
      <c r="D22" s="3">
        <v>4</v>
      </c>
      <c r="E22" s="3">
        <v>40</v>
      </c>
      <c r="F22" s="4">
        <v>8.1999999999999993</v>
      </c>
      <c r="G22" s="5">
        <v>46364</v>
      </c>
      <c r="H22" s="5"/>
      <c r="I22" s="4">
        <v>16</v>
      </c>
      <c r="J22" s="3" t="s">
        <v>70</v>
      </c>
      <c r="K22" s="7">
        <f>IFERROR(Series_Data[[#This Row],[Episodes]]/Series_Data[[#This Row],[Seasons]],0)</f>
        <v>10</v>
      </c>
      <c r="L22" s="3" t="str">
        <f>IF(Series_Data[[#This Row],[Rating]]&gt;=9,"Excellent",IF(Series_Data[[#This Row],[Rating]]&gt;=8,"Good",IF(Series_Data[[#This Row],[Rating]]&gt;=7,"Avg","Low")))</f>
        <v>Good</v>
      </c>
      <c r="M22" s="3" t="str">
        <f>IF(Series_Data[[#This Row],[Watch Time (Hours)]]&gt;=40,"High",IF(Series_Data[[#This Row],[Watch Time (Hours)]]&gt;=20,"Medium","Low"))</f>
        <v>Low</v>
      </c>
      <c r="N22" s="3" t="str">
        <f>IF(Series_Data[[#This Row],[Seasons]]=1,"Low",IF(Series_Data[[#This Row],[Seasons]]&lt;=3,"Medium","Long"))</f>
        <v>Long</v>
      </c>
      <c r="O22" t="str">
        <f t="shared" si="0"/>
        <v>Dec</v>
      </c>
    </row>
    <row r="23" spans="1:15" x14ac:dyDescent="0.3">
      <c r="A23" s="3" t="s">
        <v>80</v>
      </c>
      <c r="B23" s="3" t="s">
        <v>81</v>
      </c>
      <c r="C23" s="3" t="s">
        <v>21</v>
      </c>
      <c r="D23" s="3">
        <v>3</v>
      </c>
      <c r="E23" s="3">
        <v>30</v>
      </c>
      <c r="F23" s="4">
        <v>8.6999999999999993</v>
      </c>
      <c r="G23" s="5" t="s">
        <v>82</v>
      </c>
      <c r="H23" s="5" t="s">
        <v>83</v>
      </c>
      <c r="I23" s="4">
        <v>21</v>
      </c>
      <c r="J23" s="3" t="s">
        <v>14</v>
      </c>
      <c r="K23" s="7">
        <f>IFERROR(Series_Data[[#This Row],[Episodes]]/Series_Data[[#This Row],[Seasons]],0)</f>
        <v>10</v>
      </c>
      <c r="L23" s="3" t="str">
        <f>IF(Series_Data[[#This Row],[Rating]]&gt;=9,"Excellent",IF(Series_Data[[#This Row],[Rating]]&gt;=8,"Good",IF(Series_Data[[#This Row],[Rating]]&gt;=7,"Avg","Low")))</f>
        <v>Good</v>
      </c>
      <c r="M23" s="3" t="str">
        <f>IF(Series_Data[[#This Row],[Watch Time (Hours)]]&gt;=40,"High",IF(Series_Data[[#This Row],[Watch Time (Hours)]]&gt;=20,"Medium","Low"))</f>
        <v>Medium</v>
      </c>
      <c r="N23" s="3" t="str">
        <f>IF(Series_Data[[#This Row],[Seasons]]=1,"Low",IF(Series_Data[[#This Row],[Seasons]]&lt;=3,"Medium","Long"))</f>
        <v>Medium</v>
      </c>
      <c r="O23" t="str">
        <f t="shared" si="0"/>
        <v>Jan</v>
      </c>
    </row>
    <row r="24" spans="1:15" x14ac:dyDescent="0.3">
      <c r="A24" s="3" t="s">
        <v>84</v>
      </c>
      <c r="B24" s="3" t="s">
        <v>85</v>
      </c>
      <c r="C24" s="3" t="s">
        <v>49</v>
      </c>
      <c r="D24" s="3">
        <v>6</v>
      </c>
      <c r="E24" s="3">
        <v>65</v>
      </c>
      <c r="F24" s="4">
        <v>8.5</v>
      </c>
      <c r="G24" s="5">
        <v>46144</v>
      </c>
      <c r="H24" s="5" t="s">
        <v>26</v>
      </c>
      <c r="I24" s="4">
        <v>35</v>
      </c>
      <c r="J24" s="3" t="s">
        <v>14</v>
      </c>
      <c r="K24" s="7">
        <f>IFERROR(Series_Data[[#This Row],[Episodes]]/Series_Data[[#This Row],[Seasons]],0)</f>
        <v>10.833333333333334</v>
      </c>
      <c r="L24" s="3" t="str">
        <f>IF(Series_Data[[#This Row],[Rating]]&gt;=9,"Excellent",IF(Series_Data[[#This Row],[Rating]]&gt;=8,"Good",IF(Series_Data[[#This Row],[Rating]]&gt;=7,"Avg","Low")))</f>
        <v>Good</v>
      </c>
      <c r="M24" s="3" t="str">
        <f>IF(Series_Data[[#This Row],[Watch Time (Hours)]]&gt;=40,"High",IF(Series_Data[[#This Row],[Watch Time (Hours)]]&gt;=20,"Medium","Low"))</f>
        <v>Medium</v>
      </c>
      <c r="N24" s="3" t="str">
        <f>IF(Series_Data[[#This Row],[Seasons]]=1,"Low",IF(Series_Data[[#This Row],[Seasons]]&lt;=3,"Medium","Long"))</f>
        <v>Long</v>
      </c>
      <c r="O24" t="str">
        <f t="shared" si="0"/>
        <v>May</v>
      </c>
    </row>
    <row r="25" spans="1:15" x14ac:dyDescent="0.3">
      <c r="A25" s="3" t="s">
        <v>86</v>
      </c>
      <c r="B25" s="3" t="s">
        <v>87</v>
      </c>
      <c r="C25" s="3" t="s">
        <v>88</v>
      </c>
      <c r="D25" s="3">
        <v>1</v>
      </c>
      <c r="E25" s="3">
        <v>12</v>
      </c>
      <c r="F25" s="4">
        <v>7.5</v>
      </c>
      <c r="G25" s="5">
        <v>46298</v>
      </c>
      <c r="H25" s="5" t="s">
        <v>89</v>
      </c>
      <c r="I25" s="4">
        <v>11</v>
      </c>
      <c r="J25" s="3" t="s">
        <v>14</v>
      </c>
      <c r="K25" s="7">
        <f>IFERROR(Series_Data[[#This Row],[Episodes]]/Series_Data[[#This Row],[Seasons]],0)</f>
        <v>12</v>
      </c>
      <c r="L25" s="3" t="str">
        <f>IF(Series_Data[[#This Row],[Rating]]&gt;=9,"Excellent",IF(Series_Data[[#This Row],[Rating]]&gt;=8,"Good",IF(Series_Data[[#This Row],[Rating]]&gt;=7,"Avg","Low")))</f>
        <v>Avg</v>
      </c>
      <c r="M25" s="3" t="str">
        <f>IF(Series_Data[[#This Row],[Watch Time (Hours)]]&gt;=40,"High",IF(Series_Data[[#This Row],[Watch Time (Hours)]]&gt;=20,"Medium","Low"))</f>
        <v>Low</v>
      </c>
      <c r="N25" s="3" t="str">
        <f>IF(Series_Data[[#This Row],[Seasons]]=1,"Low",IF(Series_Data[[#This Row],[Seasons]]&lt;=3,"Medium","Long"))</f>
        <v>Low</v>
      </c>
      <c r="O25" t="str">
        <f t="shared" si="0"/>
        <v>Oct</v>
      </c>
    </row>
    <row r="26" spans="1:15" x14ac:dyDescent="0.3">
      <c r="A26" s="3" t="s">
        <v>90</v>
      </c>
      <c r="B26" s="3" t="s">
        <v>91</v>
      </c>
      <c r="C26" s="3" t="s">
        <v>17</v>
      </c>
      <c r="D26" s="3">
        <v>1</v>
      </c>
      <c r="E26" s="3">
        <v>11</v>
      </c>
      <c r="F26" s="4">
        <v>7.8</v>
      </c>
      <c r="G26" s="5">
        <v>46146</v>
      </c>
      <c r="H26" s="5" t="s">
        <v>36</v>
      </c>
      <c r="I26" s="4">
        <v>13</v>
      </c>
      <c r="J26" s="3" t="s">
        <v>14</v>
      </c>
      <c r="K26" s="7">
        <f>IFERROR(Series_Data[[#This Row],[Episodes]]/Series_Data[[#This Row],[Seasons]],0)</f>
        <v>11</v>
      </c>
      <c r="L26" s="3" t="str">
        <f>IF(Series_Data[[#This Row],[Rating]]&gt;=9,"Excellent",IF(Series_Data[[#This Row],[Rating]]&gt;=8,"Good",IF(Series_Data[[#This Row],[Rating]]&gt;=7,"Avg","Low")))</f>
        <v>Avg</v>
      </c>
      <c r="M26" s="3" t="str">
        <f>IF(Series_Data[[#This Row],[Watch Time (Hours)]]&gt;=40,"High",IF(Series_Data[[#This Row],[Watch Time (Hours)]]&gt;=20,"Medium","Low"))</f>
        <v>Low</v>
      </c>
      <c r="N26" s="3" t="str">
        <f>IF(Series_Data[[#This Row],[Seasons]]=1,"Low",IF(Series_Data[[#This Row],[Seasons]]&lt;=3,"Medium","Long"))</f>
        <v>Low</v>
      </c>
      <c r="O26" t="str">
        <f t="shared" si="0"/>
        <v>May</v>
      </c>
    </row>
    <row r="27" spans="1:15" x14ac:dyDescent="0.3">
      <c r="A27" s="3" t="s">
        <v>92</v>
      </c>
      <c r="B27" s="3">
        <v>1899</v>
      </c>
      <c r="C27" s="3" t="s">
        <v>93</v>
      </c>
      <c r="D27" s="3">
        <v>1</v>
      </c>
      <c r="E27" s="3">
        <v>8</v>
      </c>
      <c r="F27" s="4">
        <v>7.4</v>
      </c>
      <c r="G27" s="5" t="s">
        <v>94</v>
      </c>
      <c r="H27" s="5" t="s">
        <v>95</v>
      </c>
      <c r="I27" s="4">
        <v>9</v>
      </c>
      <c r="J27" s="3" t="s">
        <v>14</v>
      </c>
      <c r="K27" s="7">
        <f>IFERROR(Series_Data[[#This Row],[Episodes]]/Series_Data[[#This Row],[Seasons]],0)</f>
        <v>8</v>
      </c>
      <c r="L27" s="3" t="str">
        <f>IF(Series_Data[[#This Row],[Rating]]&gt;=9,"Excellent",IF(Series_Data[[#This Row],[Rating]]&gt;=8,"Good",IF(Series_Data[[#This Row],[Rating]]&gt;=7,"Avg","Low")))</f>
        <v>Avg</v>
      </c>
      <c r="M27" s="3" t="str">
        <f>IF(Series_Data[[#This Row],[Watch Time (Hours)]]&gt;=40,"High",IF(Series_Data[[#This Row],[Watch Time (Hours)]]&gt;=20,"Medium","Low"))</f>
        <v>Low</v>
      </c>
      <c r="N27" s="3" t="str">
        <f>IF(Series_Data[[#This Row],[Seasons]]=1,"Low",IF(Series_Data[[#This Row],[Seasons]]&lt;=3,"Medium","Long"))</f>
        <v>Low</v>
      </c>
      <c r="O27" t="str">
        <f t="shared" si="0"/>
        <v>Apr</v>
      </c>
    </row>
    <row r="28" spans="1:15" x14ac:dyDescent="0.3">
      <c r="A28" s="3" t="s">
        <v>96</v>
      </c>
      <c r="B28" s="3" t="s">
        <v>97</v>
      </c>
      <c r="C28" s="3" t="s">
        <v>25</v>
      </c>
      <c r="D28" s="3">
        <v>3</v>
      </c>
      <c r="E28" s="3">
        <v>30</v>
      </c>
      <c r="F28" s="4">
        <v>8</v>
      </c>
      <c r="G28" s="5">
        <v>46147</v>
      </c>
      <c r="H28" s="5" t="s">
        <v>98</v>
      </c>
      <c r="I28" s="4">
        <v>25</v>
      </c>
      <c r="J28" s="3" t="s">
        <v>14</v>
      </c>
      <c r="K28" s="7">
        <f>IFERROR(Series_Data[[#This Row],[Episodes]]/Series_Data[[#This Row],[Seasons]],0)</f>
        <v>10</v>
      </c>
      <c r="L28" s="3" t="str">
        <f>IF(Series_Data[[#This Row],[Rating]]&gt;=9,"Excellent",IF(Series_Data[[#This Row],[Rating]]&gt;=8,"Good",IF(Series_Data[[#This Row],[Rating]]&gt;=7,"Avg","Low")))</f>
        <v>Good</v>
      </c>
      <c r="M28" s="3" t="str">
        <f>IF(Series_Data[[#This Row],[Watch Time (Hours)]]&gt;=40,"High",IF(Series_Data[[#This Row],[Watch Time (Hours)]]&gt;=20,"Medium","Low"))</f>
        <v>Medium</v>
      </c>
      <c r="N28" s="3" t="str">
        <f>IF(Series_Data[[#This Row],[Seasons]]=1,"Low",IF(Series_Data[[#This Row],[Seasons]]&lt;=3,"Medium","Long"))</f>
        <v>Medium</v>
      </c>
      <c r="O28" t="str">
        <f t="shared" si="0"/>
        <v>May</v>
      </c>
    </row>
    <row r="29" spans="1:15" x14ac:dyDescent="0.3">
      <c r="A29" s="3" t="s">
        <v>99</v>
      </c>
      <c r="B29" s="3" t="s">
        <v>100</v>
      </c>
      <c r="C29" s="3" t="s">
        <v>93</v>
      </c>
      <c r="D29" s="3">
        <v>4</v>
      </c>
      <c r="E29" s="3">
        <v>62</v>
      </c>
      <c r="F29" s="4">
        <v>7.1</v>
      </c>
      <c r="G29" s="5">
        <v>46028</v>
      </c>
      <c r="H29" s="5" t="s">
        <v>101</v>
      </c>
      <c r="I29" s="4">
        <v>34</v>
      </c>
      <c r="J29" s="3" t="s">
        <v>14</v>
      </c>
      <c r="K29" s="7">
        <f>IFERROR(Series_Data[[#This Row],[Episodes]]/Series_Data[[#This Row],[Seasons]],0)</f>
        <v>15.5</v>
      </c>
      <c r="L29" s="3" t="str">
        <f>IF(Series_Data[[#This Row],[Rating]]&gt;=9,"Excellent",IF(Series_Data[[#This Row],[Rating]]&gt;=8,"Good",IF(Series_Data[[#This Row],[Rating]]&gt;=7,"Avg","Low")))</f>
        <v>Avg</v>
      </c>
      <c r="M29" s="3" t="str">
        <f>IF(Series_Data[[#This Row],[Watch Time (Hours)]]&gt;=40,"High",IF(Series_Data[[#This Row],[Watch Time (Hours)]]&gt;=20,"Medium","Low"))</f>
        <v>Medium</v>
      </c>
      <c r="N29" s="3" t="str">
        <f>IF(Series_Data[[#This Row],[Seasons]]=1,"Low",IF(Series_Data[[#This Row],[Seasons]]&lt;=3,"Medium","Long"))</f>
        <v>Long</v>
      </c>
      <c r="O29" t="str">
        <f t="shared" si="0"/>
        <v>Jan</v>
      </c>
    </row>
    <row r="30" spans="1:15" x14ac:dyDescent="0.3">
      <c r="A30" s="3" t="s">
        <v>102</v>
      </c>
      <c r="B30" s="3" t="s">
        <v>103</v>
      </c>
      <c r="C30" s="3" t="s">
        <v>75</v>
      </c>
      <c r="D30" s="3">
        <v>4</v>
      </c>
      <c r="E30" s="3">
        <v>40</v>
      </c>
      <c r="F30" s="4">
        <v>7.5</v>
      </c>
      <c r="G30" s="5">
        <v>46149</v>
      </c>
      <c r="H30" s="5" t="s">
        <v>104</v>
      </c>
      <c r="I30" s="4">
        <v>27</v>
      </c>
      <c r="J30" s="3" t="s">
        <v>14</v>
      </c>
      <c r="K30" s="7">
        <f>IFERROR(Series_Data[[#This Row],[Episodes]]/Series_Data[[#This Row],[Seasons]],0)</f>
        <v>10</v>
      </c>
      <c r="L30" s="3" t="str">
        <f>IF(Series_Data[[#This Row],[Rating]]&gt;=9,"Excellent",IF(Series_Data[[#This Row],[Rating]]&gt;=8,"Good",IF(Series_Data[[#This Row],[Rating]]&gt;=7,"Avg","Low")))</f>
        <v>Avg</v>
      </c>
      <c r="M30" s="3" t="str">
        <f>IF(Series_Data[[#This Row],[Watch Time (Hours)]]&gt;=40,"High",IF(Series_Data[[#This Row],[Watch Time (Hours)]]&gt;=20,"Medium","Low"))</f>
        <v>Medium</v>
      </c>
      <c r="N30" s="3" t="str">
        <f>IF(Series_Data[[#This Row],[Seasons]]=1,"Low",IF(Series_Data[[#This Row],[Seasons]]&lt;=3,"Medium","Long"))</f>
        <v>Long</v>
      </c>
      <c r="O30" t="str">
        <f t="shared" si="0"/>
        <v>May</v>
      </c>
    </row>
    <row r="31" spans="1:15" x14ac:dyDescent="0.3">
      <c r="A31" s="3" t="s">
        <v>105</v>
      </c>
      <c r="B31" s="3" t="s">
        <v>106</v>
      </c>
      <c r="C31" s="3" t="s">
        <v>45</v>
      </c>
      <c r="D31" s="3">
        <v>2</v>
      </c>
      <c r="E31" s="3">
        <v>20</v>
      </c>
      <c r="F31" s="4">
        <v>7.5</v>
      </c>
      <c r="G31" s="5">
        <v>46302</v>
      </c>
      <c r="H31" s="5" t="s">
        <v>107</v>
      </c>
      <c r="I31" s="4">
        <v>18</v>
      </c>
      <c r="J31" s="3" t="s">
        <v>14</v>
      </c>
      <c r="K31" s="7">
        <f>IFERROR(Series_Data[[#This Row],[Episodes]]/Series_Data[[#This Row],[Seasons]],0)</f>
        <v>10</v>
      </c>
      <c r="L31" s="3" t="str">
        <f>IF(Series_Data[[#This Row],[Rating]]&gt;=9,"Excellent",IF(Series_Data[[#This Row],[Rating]]&gt;=8,"Good",IF(Series_Data[[#This Row],[Rating]]&gt;=7,"Avg","Low")))</f>
        <v>Avg</v>
      </c>
      <c r="M31" s="3" t="str">
        <f>IF(Series_Data[[#This Row],[Watch Time (Hours)]]&gt;=40,"High",IF(Series_Data[[#This Row],[Watch Time (Hours)]]&gt;=20,"Medium","Low"))</f>
        <v>Low</v>
      </c>
      <c r="N31" s="3" t="str">
        <f>IF(Series_Data[[#This Row],[Seasons]]=1,"Low",IF(Series_Data[[#This Row],[Seasons]]&lt;=3,"Medium","Long"))</f>
        <v>Medium</v>
      </c>
      <c r="O31" t="str">
        <f t="shared" si="0"/>
        <v>Oct</v>
      </c>
    </row>
    <row r="32" spans="1:15" x14ac:dyDescent="0.3">
      <c r="A32" s="3" t="s">
        <v>108</v>
      </c>
      <c r="B32" s="3" t="s">
        <v>109</v>
      </c>
      <c r="C32" s="3" t="s">
        <v>25</v>
      </c>
      <c r="D32" s="3">
        <v>9</v>
      </c>
      <c r="E32" s="3">
        <v>134</v>
      </c>
      <c r="F32" s="4">
        <v>8.4</v>
      </c>
      <c r="G32" s="5">
        <v>46054</v>
      </c>
      <c r="H32" s="5" t="s">
        <v>26</v>
      </c>
      <c r="I32" s="4">
        <v>55</v>
      </c>
      <c r="J32" s="3" t="s">
        <v>14</v>
      </c>
      <c r="K32" s="7">
        <f>IFERROR(Series_Data[[#This Row],[Episodes]]/Series_Data[[#This Row],[Seasons]],0)</f>
        <v>14.888888888888889</v>
      </c>
      <c r="L32" s="3" t="str">
        <f>IF(Series_Data[[#This Row],[Rating]]&gt;=9,"Excellent",IF(Series_Data[[#This Row],[Rating]]&gt;=8,"Good",IF(Series_Data[[#This Row],[Rating]]&gt;=7,"Avg","Low")))</f>
        <v>Good</v>
      </c>
      <c r="M32" s="3" t="str">
        <f>IF(Series_Data[[#This Row],[Watch Time (Hours)]]&gt;=40,"High",IF(Series_Data[[#This Row],[Watch Time (Hours)]]&gt;=20,"Medium","Low"))</f>
        <v>High</v>
      </c>
      <c r="N32" s="3" t="str">
        <f>IF(Series_Data[[#This Row],[Seasons]]=1,"Low",IF(Series_Data[[#This Row],[Seasons]]&lt;=3,"Medium","Long"))</f>
        <v>Long</v>
      </c>
      <c r="O32" t="str">
        <f t="shared" si="0"/>
        <v>Feb</v>
      </c>
    </row>
    <row r="33" spans="1:15" x14ac:dyDescent="0.3">
      <c r="A33" s="3" t="s">
        <v>110</v>
      </c>
      <c r="B33" s="3" t="s">
        <v>111</v>
      </c>
      <c r="C33" s="3" t="s">
        <v>21</v>
      </c>
      <c r="D33" s="3">
        <v>8</v>
      </c>
      <c r="E33" s="3">
        <v>96</v>
      </c>
      <c r="F33" s="4">
        <v>8.6</v>
      </c>
      <c r="G33" s="5">
        <v>46297</v>
      </c>
      <c r="H33" s="5">
        <v>46145</v>
      </c>
      <c r="I33" s="4">
        <v>48</v>
      </c>
      <c r="J33" s="3" t="s">
        <v>14</v>
      </c>
      <c r="K33" s="7">
        <f>IFERROR(Series_Data[[#This Row],[Episodes]]/Series_Data[[#This Row],[Seasons]],0)</f>
        <v>12</v>
      </c>
      <c r="L33" s="3" t="str">
        <f>IF(Series_Data[[#This Row],[Rating]]&gt;=9,"Excellent",IF(Series_Data[[#This Row],[Rating]]&gt;=8,"Good",IF(Series_Data[[#This Row],[Rating]]&gt;=7,"Avg","Low")))</f>
        <v>Good</v>
      </c>
      <c r="M33" s="3" t="str">
        <f>IF(Series_Data[[#This Row],[Watch Time (Hours)]]&gt;=40,"High",IF(Series_Data[[#This Row],[Watch Time (Hours)]]&gt;=20,"Medium","Low"))</f>
        <v>High</v>
      </c>
      <c r="N33" s="3" t="str">
        <f>IF(Series_Data[[#This Row],[Seasons]]=1,"Low",IF(Series_Data[[#This Row],[Seasons]]&lt;=3,"Medium","Long"))</f>
        <v>Long</v>
      </c>
      <c r="O33" t="str">
        <f t="shared" si="0"/>
        <v>Oct</v>
      </c>
    </row>
    <row r="34" spans="1:15" x14ac:dyDescent="0.3">
      <c r="A34" s="3" t="s">
        <v>112</v>
      </c>
      <c r="B34" s="3" t="s">
        <v>113</v>
      </c>
      <c r="C34" s="3" t="s">
        <v>25</v>
      </c>
      <c r="D34" s="3">
        <v>8</v>
      </c>
      <c r="E34" s="3">
        <v>177</v>
      </c>
      <c r="F34" s="4">
        <v>8.6999999999999993</v>
      </c>
      <c r="G34" s="5" t="s">
        <v>114</v>
      </c>
      <c r="H34" s="5" t="s">
        <v>30</v>
      </c>
      <c r="I34" s="4">
        <v>52</v>
      </c>
      <c r="J34" s="3" t="s">
        <v>14</v>
      </c>
      <c r="K34" s="7">
        <f>IFERROR(Series_Data[[#This Row],[Episodes]]/Series_Data[[#This Row],[Seasons]],0)</f>
        <v>22.125</v>
      </c>
      <c r="L34" s="3" t="str">
        <f>IF(Series_Data[[#This Row],[Rating]]&gt;=9,"Excellent",IF(Series_Data[[#This Row],[Rating]]&gt;=8,"Good",IF(Series_Data[[#This Row],[Rating]]&gt;=7,"Avg","Low")))</f>
        <v>Good</v>
      </c>
      <c r="M34" s="3" t="str">
        <f>IF(Series_Data[[#This Row],[Watch Time (Hours)]]&gt;=40,"High",IF(Series_Data[[#This Row],[Watch Time (Hours)]]&gt;=20,"Medium","Low"))</f>
        <v>High</v>
      </c>
      <c r="N34" s="3" t="str">
        <f>IF(Series_Data[[#This Row],[Seasons]]=1,"Low",IF(Series_Data[[#This Row],[Seasons]]&lt;=3,"Medium","Long"))</f>
        <v>Long</v>
      </c>
      <c r="O34" t="str">
        <f t="shared" ref="O34:O65" si="1">IF(G34="","",IF(ISNUMBER(G34),TEXT(G34,"mmm"),IF(LEFT(G34,4)="2026",TEXT(DATE(LEFT(G34,4),MID(G34,6,2),1),"mmm"),TEXT(DATE(RIGHT(G34,4),MID(G34,4,2),1),"mmm"))))</f>
        <v>Feb</v>
      </c>
    </row>
    <row r="35" spans="1:15" x14ac:dyDescent="0.3">
      <c r="A35" s="3" t="s">
        <v>115</v>
      </c>
      <c r="B35" s="3" t="s">
        <v>116</v>
      </c>
      <c r="C35" s="3" t="s">
        <v>93</v>
      </c>
      <c r="D35" s="3">
        <v>6</v>
      </c>
      <c r="E35" s="3">
        <v>121</v>
      </c>
      <c r="F35" s="4">
        <v>8.3000000000000007</v>
      </c>
      <c r="G35" s="5" t="s">
        <v>26</v>
      </c>
      <c r="H35" s="5" t="s">
        <v>117</v>
      </c>
      <c r="I35" s="4">
        <v>45</v>
      </c>
      <c r="J35" s="3" t="s">
        <v>14</v>
      </c>
      <c r="K35" s="7">
        <f>IFERROR(Series_Data[[#This Row],[Episodes]]/Series_Data[[#This Row],[Seasons]],0)</f>
        <v>20.166666666666668</v>
      </c>
      <c r="L35" s="3" t="str">
        <f>IF(Series_Data[[#This Row],[Rating]]&gt;=9,"Excellent",IF(Series_Data[[#This Row],[Rating]]&gt;=8,"Good",IF(Series_Data[[#This Row],[Rating]]&gt;=7,"Avg","Low")))</f>
        <v>Good</v>
      </c>
      <c r="M35" s="3" t="str">
        <f>IF(Series_Data[[#This Row],[Watch Time (Hours)]]&gt;=40,"High",IF(Series_Data[[#This Row],[Watch Time (Hours)]]&gt;=20,"Medium","Low"))</f>
        <v>High</v>
      </c>
      <c r="N35" s="3" t="str">
        <f>IF(Series_Data[[#This Row],[Seasons]]=1,"Low",IF(Series_Data[[#This Row],[Seasons]]&lt;=3,"Medium","Long"))</f>
        <v>Long</v>
      </c>
      <c r="O35" t="str">
        <f t="shared" si="1"/>
        <v>Feb</v>
      </c>
    </row>
    <row r="36" spans="1:15" x14ac:dyDescent="0.3">
      <c r="A36" s="3" t="s">
        <v>118</v>
      </c>
      <c r="B36" s="3" t="s">
        <v>119</v>
      </c>
      <c r="C36" s="3" t="s">
        <v>12</v>
      </c>
      <c r="D36" s="3">
        <v>7</v>
      </c>
      <c r="E36" s="3">
        <v>100</v>
      </c>
      <c r="F36" s="4">
        <v>7.6</v>
      </c>
      <c r="G36" s="5">
        <v>46025</v>
      </c>
      <c r="H36" s="5" t="s">
        <v>120</v>
      </c>
      <c r="I36" s="4">
        <v>43</v>
      </c>
      <c r="J36" s="3" t="s">
        <v>14</v>
      </c>
      <c r="K36" s="7">
        <f>IFERROR(Series_Data[[#This Row],[Episodes]]/Series_Data[[#This Row],[Seasons]],0)</f>
        <v>14.285714285714286</v>
      </c>
      <c r="L36" s="3" t="str">
        <f>IF(Series_Data[[#This Row],[Rating]]&gt;=9,"Excellent",IF(Series_Data[[#This Row],[Rating]]&gt;=8,"Good",IF(Series_Data[[#This Row],[Rating]]&gt;=7,"Avg","Low")))</f>
        <v>Avg</v>
      </c>
      <c r="M36" s="3" t="str">
        <f>IF(Series_Data[[#This Row],[Watch Time (Hours)]]&gt;=40,"High",IF(Series_Data[[#This Row],[Watch Time (Hours)]]&gt;=20,"Medium","Low"))</f>
        <v>High</v>
      </c>
      <c r="N36" s="3" t="str">
        <f>IF(Series_Data[[#This Row],[Seasons]]=1,"Low",IF(Series_Data[[#This Row],[Seasons]]&lt;=3,"Medium","Long"))</f>
        <v>Long</v>
      </c>
      <c r="O36" t="str">
        <f t="shared" si="1"/>
        <v>Jan</v>
      </c>
    </row>
    <row r="37" spans="1:15" x14ac:dyDescent="0.3">
      <c r="A37" s="3" t="s">
        <v>121</v>
      </c>
      <c r="B37" s="3" t="s">
        <v>122</v>
      </c>
      <c r="C37" s="3" t="s">
        <v>17</v>
      </c>
      <c r="D37" s="3">
        <v>6</v>
      </c>
      <c r="E37" s="3">
        <v>100</v>
      </c>
      <c r="F37" s="4">
        <v>7.7</v>
      </c>
      <c r="G37" s="5">
        <v>46298</v>
      </c>
      <c r="H37" s="5">
        <v>46146</v>
      </c>
      <c r="I37" s="4">
        <v>46</v>
      </c>
      <c r="J37" s="3" t="s">
        <v>14</v>
      </c>
      <c r="K37" s="7">
        <f>IFERROR(Series_Data[[#This Row],[Episodes]]/Series_Data[[#This Row],[Seasons]],0)</f>
        <v>16.666666666666668</v>
      </c>
      <c r="L37" s="3" t="str">
        <f>IF(Series_Data[[#This Row],[Rating]]&gt;=9,"Excellent",IF(Series_Data[[#This Row],[Rating]]&gt;=8,"Good",IF(Series_Data[[#This Row],[Rating]]&gt;=7,"Avg","Low")))</f>
        <v>Avg</v>
      </c>
      <c r="M37" s="3" t="str">
        <f>IF(Series_Data[[#This Row],[Watch Time (Hours)]]&gt;=40,"High",IF(Series_Data[[#This Row],[Watch Time (Hours)]]&gt;=20,"Medium","Low"))</f>
        <v>High</v>
      </c>
      <c r="N37" s="3" t="str">
        <f>IF(Series_Data[[#This Row],[Seasons]]=1,"Low",IF(Series_Data[[#This Row],[Seasons]]&lt;=3,"Medium","Long"))</f>
        <v>Long</v>
      </c>
      <c r="O37" t="str">
        <f t="shared" si="1"/>
        <v>Oct</v>
      </c>
    </row>
    <row r="38" spans="1:15" x14ac:dyDescent="0.3">
      <c r="A38" s="3" t="s">
        <v>123</v>
      </c>
      <c r="B38" s="3" t="s">
        <v>124</v>
      </c>
      <c r="C38" s="3" t="s">
        <v>49</v>
      </c>
      <c r="D38" s="3">
        <v>9</v>
      </c>
      <c r="E38" s="3">
        <v>184</v>
      </c>
      <c r="F38" s="4">
        <v>7.5</v>
      </c>
      <c r="G38" s="5">
        <v>46026</v>
      </c>
      <c r="H38" s="5" t="s">
        <v>125</v>
      </c>
      <c r="I38" s="4">
        <v>58</v>
      </c>
      <c r="J38" s="3" t="s">
        <v>14</v>
      </c>
      <c r="K38" s="7">
        <f>IFERROR(Series_Data[[#This Row],[Episodes]]/Series_Data[[#This Row],[Seasons]],0)</f>
        <v>20.444444444444443</v>
      </c>
      <c r="L38" s="3" t="str">
        <f>IF(Series_Data[[#This Row],[Rating]]&gt;=9,"Excellent",IF(Series_Data[[#This Row],[Rating]]&gt;=8,"Good",IF(Series_Data[[#This Row],[Rating]]&gt;=7,"Avg","Low")))</f>
        <v>Avg</v>
      </c>
      <c r="M38" s="3" t="str">
        <f>IF(Series_Data[[#This Row],[Watch Time (Hours)]]&gt;=40,"High",IF(Series_Data[[#This Row],[Watch Time (Hours)]]&gt;=20,"Medium","Low"))</f>
        <v>High</v>
      </c>
      <c r="N38" s="3" t="str">
        <f>IF(Series_Data[[#This Row],[Seasons]]=1,"Low",IF(Series_Data[[#This Row],[Seasons]]&lt;=3,"Medium","Long"))</f>
        <v>Long</v>
      </c>
      <c r="O38" t="str">
        <f t="shared" si="1"/>
        <v>Jan</v>
      </c>
    </row>
    <row r="39" spans="1:15" x14ac:dyDescent="0.3">
      <c r="A39" s="3" t="s">
        <v>126</v>
      </c>
      <c r="B39" s="3" t="s">
        <v>127</v>
      </c>
      <c r="C39" s="3" t="s">
        <v>93</v>
      </c>
      <c r="D39" s="3">
        <v>4</v>
      </c>
      <c r="E39" s="3">
        <v>13</v>
      </c>
      <c r="F39" s="4">
        <v>9.1</v>
      </c>
      <c r="G39" s="5">
        <v>46146</v>
      </c>
      <c r="H39" s="5">
        <v>46360</v>
      </c>
      <c r="I39" s="4">
        <v>12.5</v>
      </c>
      <c r="J39" s="3" t="s">
        <v>14</v>
      </c>
      <c r="K39" s="7">
        <f>IFERROR(Series_Data[[#This Row],[Episodes]]/Series_Data[[#This Row],[Seasons]],0)</f>
        <v>3.25</v>
      </c>
      <c r="L39" s="3" t="str">
        <f>IF(Series_Data[[#This Row],[Rating]]&gt;=9,"Excellent",IF(Series_Data[[#This Row],[Rating]]&gt;=8,"Good",IF(Series_Data[[#This Row],[Rating]]&gt;=7,"Avg","Low")))</f>
        <v>Excellent</v>
      </c>
      <c r="M39" s="3" t="str">
        <f>IF(Series_Data[[#This Row],[Watch Time (Hours)]]&gt;=40,"High",IF(Series_Data[[#This Row],[Watch Time (Hours)]]&gt;=20,"Medium","Low"))</f>
        <v>Low</v>
      </c>
      <c r="N39" s="3" t="str">
        <f>IF(Series_Data[[#This Row],[Seasons]]=1,"Low",IF(Series_Data[[#This Row],[Seasons]]&lt;=3,"Medium","Long"))</f>
        <v>Long</v>
      </c>
      <c r="O39" t="str">
        <f t="shared" si="1"/>
        <v>May</v>
      </c>
    </row>
    <row r="40" spans="1:15" x14ac:dyDescent="0.3">
      <c r="A40" s="3" t="s">
        <v>128</v>
      </c>
      <c r="B40" s="3" t="s">
        <v>129</v>
      </c>
      <c r="C40" s="3" t="s">
        <v>21</v>
      </c>
      <c r="D40" s="3">
        <v>6</v>
      </c>
      <c r="E40" s="3">
        <v>63</v>
      </c>
      <c r="F40" s="4">
        <v>9</v>
      </c>
      <c r="G40" s="5">
        <v>46299</v>
      </c>
      <c r="H40" s="5">
        <v>46147</v>
      </c>
      <c r="I40" s="4">
        <v>44</v>
      </c>
      <c r="J40" s="3" t="s">
        <v>14</v>
      </c>
      <c r="K40" s="7">
        <f>IFERROR(Series_Data[[#This Row],[Episodes]]/Series_Data[[#This Row],[Seasons]],0)</f>
        <v>10.5</v>
      </c>
      <c r="L40" s="3" t="str">
        <f>IF(Series_Data[[#This Row],[Rating]]&gt;=9,"Excellent",IF(Series_Data[[#This Row],[Rating]]&gt;=8,"Good",IF(Series_Data[[#This Row],[Rating]]&gt;=7,"Avg","Low")))</f>
        <v>Excellent</v>
      </c>
      <c r="M40" s="3" t="str">
        <f>IF(Series_Data[[#This Row],[Watch Time (Hours)]]&gt;=40,"High",IF(Series_Data[[#This Row],[Watch Time (Hours)]]&gt;=20,"Medium","Low"))</f>
        <v>High</v>
      </c>
      <c r="N40" s="3" t="str">
        <f>IF(Series_Data[[#This Row],[Seasons]]=1,"Low",IF(Series_Data[[#This Row],[Seasons]]&lt;=3,"Medium","Long"))</f>
        <v>Long</v>
      </c>
      <c r="O40" t="str">
        <f t="shared" si="1"/>
        <v>Oct</v>
      </c>
    </row>
    <row r="41" spans="1:15" x14ac:dyDescent="0.3">
      <c r="A41" s="3" t="s">
        <v>130</v>
      </c>
      <c r="B41" s="3" t="s">
        <v>131</v>
      </c>
      <c r="C41" s="3" t="s">
        <v>21</v>
      </c>
      <c r="D41" s="3">
        <v>4</v>
      </c>
      <c r="E41" s="3">
        <v>44</v>
      </c>
      <c r="F41" s="4">
        <v>8.5</v>
      </c>
      <c r="G41" s="5">
        <v>46027</v>
      </c>
      <c r="H41" s="5" t="s">
        <v>132</v>
      </c>
      <c r="I41" s="4">
        <v>35</v>
      </c>
      <c r="J41" s="3" t="s">
        <v>14</v>
      </c>
      <c r="K41" s="7">
        <f>IFERROR(Series_Data[[#This Row],[Episodes]]/Series_Data[[#This Row],[Seasons]],0)</f>
        <v>11</v>
      </c>
      <c r="L41" s="3" t="str">
        <f>IF(Series_Data[[#This Row],[Rating]]&gt;=9,"Excellent",IF(Series_Data[[#This Row],[Rating]]&gt;=8,"Good",IF(Series_Data[[#This Row],[Rating]]&gt;=7,"Avg","Low")))</f>
        <v>Good</v>
      </c>
      <c r="M41" s="3" t="str">
        <f>IF(Series_Data[[#This Row],[Watch Time (Hours)]]&gt;=40,"High",IF(Series_Data[[#This Row],[Watch Time (Hours)]]&gt;=20,"Medium","Low"))</f>
        <v>Medium</v>
      </c>
      <c r="N41" s="3" t="str">
        <f>IF(Series_Data[[#This Row],[Seasons]]=1,"Low",IF(Series_Data[[#This Row],[Seasons]]&lt;=3,"Medium","Long"))</f>
        <v>Long</v>
      </c>
      <c r="O41" t="str">
        <f t="shared" si="1"/>
        <v>Jan</v>
      </c>
    </row>
    <row r="42" spans="1:15" x14ac:dyDescent="0.3">
      <c r="A42" s="3" t="s">
        <v>133</v>
      </c>
      <c r="B42" s="3" t="s">
        <v>134</v>
      </c>
      <c r="C42" s="3" t="s">
        <v>25</v>
      </c>
      <c r="D42" s="3">
        <v>6</v>
      </c>
      <c r="E42" s="3">
        <v>60</v>
      </c>
      <c r="F42" s="4">
        <v>8.6</v>
      </c>
      <c r="G42" s="5">
        <v>46147</v>
      </c>
      <c r="H42" s="5" t="s">
        <v>135</v>
      </c>
      <c r="I42" s="4">
        <v>42</v>
      </c>
      <c r="J42" s="3" t="s">
        <v>14</v>
      </c>
      <c r="K42" s="7">
        <f>IFERROR(Series_Data[[#This Row],[Episodes]]/Series_Data[[#This Row],[Seasons]],0)</f>
        <v>10</v>
      </c>
      <c r="L42" s="3" t="str">
        <f>IF(Series_Data[[#This Row],[Rating]]&gt;=9,"Excellent",IF(Series_Data[[#This Row],[Rating]]&gt;=8,"Good",IF(Series_Data[[#This Row],[Rating]]&gt;=7,"Avg","Low")))</f>
        <v>Good</v>
      </c>
      <c r="M42" s="3" t="str">
        <f>IF(Series_Data[[#This Row],[Watch Time (Hours)]]&gt;=40,"High",IF(Series_Data[[#This Row],[Watch Time (Hours)]]&gt;=20,"Medium","Low"))</f>
        <v>High</v>
      </c>
      <c r="N42" s="3" t="str">
        <f>IF(Series_Data[[#This Row],[Seasons]]=1,"Low",IF(Series_Data[[#This Row],[Seasons]]&lt;=3,"Medium","Long"))</f>
        <v>Long</v>
      </c>
      <c r="O42" t="str">
        <f t="shared" si="1"/>
        <v>May</v>
      </c>
    </row>
    <row r="43" spans="1:15" x14ac:dyDescent="0.3">
      <c r="A43" s="3" t="s">
        <v>136</v>
      </c>
      <c r="B43" s="3" t="s">
        <v>137</v>
      </c>
      <c r="C43" s="3" t="s">
        <v>88</v>
      </c>
      <c r="D43" s="3">
        <v>2</v>
      </c>
      <c r="E43" s="3">
        <v>16</v>
      </c>
      <c r="F43" s="4">
        <v>6.5</v>
      </c>
      <c r="G43" s="5">
        <v>46300</v>
      </c>
      <c r="H43" s="5" t="s">
        <v>42</v>
      </c>
      <c r="I43" s="4">
        <v>13</v>
      </c>
      <c r="J43" s="3" t="s">
        <v>14</v>
      </c>
      <c r="K43" s="7">
        <f>IFERROR(Series_Data[[#This Row],[Episodes]]/Series_Data[[#This Row],[Seasons]],0)</f>
        <v>8</v>
      </c>
      <c r="L43" s="3" t="str">
        <f>IF(Series_Data[[#This Row],[Rating]]&gt;=9,"Excellent",IF(Series_Data[[#This Row],[Rating]]&gt;=8,"Good",IF(Series_Data[[#This Row],[Rating]]&gt;=7,"Avg","Low")))</f>
        <v>Low</v>
      </c>
      <c r="M43" s="3" t="str">
        <f>IF(Series_Data[[#This Row],[Watch Time (Hours)]]&gt;=40,"High",IF(Series_Data[[#This Row],[Watch Time (Hours)]]&gt;=20,"Medium","Low"))</f>
        <v>Low</v>
      </c>
      <c r="N43" s="3" t="str">
        <f>IF(Series_Data[[#This Row],[Seasons]]=1,"Low",IF(Series_Data[[#This Row],[Seasons]]&lt;=3,"Medium","Long"))</f>
        <v>Medium</v>
      </c>
      <c r="O43" t="str">
        <f t="shared" si="1"/>
        <v>Oct</v>
      </c>
    </row>
    <row r="44" spans="1:15" x14ac:dyDescent="0.3">
      <c r="A44" s="3" t="s">
        <v>138</v>
      </c>
      <c r="B44" s="3" t="s">
        <v>139</v>
      </c>
      <c r="C44" s="3" t="s">
        <v>12</v>
      </c>
      <c r="D44" s="3">
        <v>2</v>
      </c>
      <c r="E44" s="3">
        <v>24</v>
      </c>
      <c r="F44" s="4">
        <v>8.1999999999999993</v>
      </c>
      <c r="G44" s="5" t="s">
        <v>46</v>
      </c>
      <c r="H44" s="5" t="s">
        <v>140</v>
      </c>
      <c r="I44" s="4">
        <v>19</v>
      </c>
      <c r="J44" s="3" t="s">
        <v>14</v>
      </c>
      <c r="K44" s="7">
        <f>IFERROR(Series_Data[[#This Row],[Episodes]]/Series_Data[[#This Row],[Seasons]],0)</f>
        <v>12</v>
      </c>
      <c r="L44" s="3" t="str">
        <f>IF(Series_Data[[#This Row],[Rating]]&gt;=9,"Excellent",IF(Series_Data[[#This Row],[Rating]]&gt;=8,"Good",IF(Series_Data[[#This Row],[Rating]]&gt;=7,"Avg","Low")))</f>
        <v>Good</v>
      </c>
      <c r="M44" s="3" t="str">
        <f>IF(Series_Data[[#This Row],[Watch Time (Hours)]]&gt;=40,"High",IF(Series_Data[[#This Row],[Watch Time (Hours)]]&gt;=20,"Medium","Low"))</f>
        <v>Low</v>
      </c>
      <c r="N44" s="3" t="str">
        <f>IF(Series_Data[[#This Row],[Seasons]]=1,"Low",IF(Series_Data[[#This Row],[Seasons]]&lt;=3,"Medium","Long"))</f>
        <v>Medium</v>
      </c>
      <c r="O44" t="str">
        <f t="shared" si="1"/>
        <v>May</v>
      </c>
    </row>
    <row r="45" spans="1:15" x14ac:dyDescent="0.3">
      <c r="A45" s="3" t="s">
        <v>141</v>
      </c>
      <c r="B45" s="3" t="s">
        <v>142</v>
      </c>
      <c r="C45" s="3" t="s">
        <v>17</v>
      </c>
      <c r="D45" s="3">
        <v>3</v>
      </c>
      <c r="E45" s="3">
        <v>28</v>
      </c>
      <c r="F45" s="4">
        <v>7.4</v>
      </c>
      <c r="G45" s="5">
        <v>46028</v>
      </c>
      <c r="H45" s="5" t="s">
        <v>56</v>
      </c>
      <c r="I45" s="4">
        <v>22</v>
      </c>
      <c r="J45" s="3" t="s">
        <v>14</v>
      </c>
      <c r="K45" s="7">
        <f>IFERROR(Series_Data[[#This Row],[Episodes]]/Series_Data[[#This Row],[Seasons]],0)</f>
        <v>9.3333333333333339</v>
      </c>
      <c r="L45" s="3" t="str">
        <f>IF(Series_Data[[#This Row],[Rating]]&gt;=9,"Excellent",IF(Series_Data[[#This Row],[Rating]]&gt;=8,"Good",IF(Series_Data[[#This Row],[Rating]]&gt;=7,"Avg","Low")))</f>
        <v>Avg</v>
      </c>
      <c r="M45" s="3" t="str">
        <f>IF(Series_Data[[#This Row],[Watch Time (Hours)]]&gt;=40,"High",IF(Series_Data[[#This Row],[Watch Time (Hours)]]&gt;=20,"Medium","Low"))</f>
        <v>Medium</v>
      </c>
      <c r="N45" s="3" t="str">
        <f>IF(Series_Data[[#This Row],[Seasons]]=1,"Low",IF(Series_Data[[#This Row],[Seasons]]&lt;=3,"Medium","Long"))</f>
        <v>Medium</v>
      </c>
      <c r="O45" t="str">
        <f t="shared" si="1"/>
        <v>Jan</v>
      </c>
    </row>
    <row r="46" spans="1:15" x14ac:dyDescent="0.3">
      <c r="A46" s="3" t="s">
        <v>143</v>
      </c>
      <c r="B46" s="3" t="s">
        <v>144</v>
      </c>
      <c r="C46" s="3" t="s">
        <v>53</v>
      </c>
      <c r="D46" s="3">
        <v>7</v>
      </c>
      <c r="E46" s="3">
        <v>84</v>
      </c>
      <c r="F46" s="4">
        <v>7.8</v>
      </c>
      <c r="G46" s="5">
        <v>46148</v>
      </c>
      <c r="H46" s="5" t="s">
        <v>57</v>
      </c>
      <c r="I46" s="4">
        <v>40</v>
      </c>
      <c r="J46" s="3" t="s">
        <v>14</v>
      </c>
      <c r="K46" s="7">
        <f>IFERROR(Series_Data[[#This Row],[Episodes]]/Series_Data[[#This Row],[Seasons]],0)</f>
        <v>12</v>
      </c>
      <c r="L46" s="3" t="str">
        <f>IF(Series_Data[[#This Row],[Rating]]&gt;=9,"Excellent",IF(Series_Data[[#This Row],[Rating]]&gt;=8,"Good",IF(Series_Data[[#This Row],[Rating]]&gt;=7,"Avg","Low")))</f>
        <v>Avg</v>
      </c>
      <c r="M46" s="3" t="str">
        <f>IF(Series_Data[[#This Row],[Watch Time (Hours)]]&gt;=40,"High",IF(Series_Data[[#This Row],[Watch Time (Hours)]]&gt;=20,"Medium","Low"))</f>
        <v>High</v>
      </c>
      <c r="N46" s="3" t="str">
        <f>IF(Series_Data[[#This Row],[Seasons]]=1,"Low",IF(Series_Data[[#This Row],[Seasons]]&lt;=3,"Medium","Long"))</f>
        <v>Long</v>
      </c>
      <c r="O46" t="str">
        <f t="shared" si="1"/>
        <v>May</v>
      </c>
    </row>
    <row r="47" spans="1:15" x14ac:dyDescent="0.3">
      <c r="A47" s="3" t="s">
        <v>145</v>
      </c>
      <c r="B47" s="3" t="s">
        <v>146</v>
      </c>
      <c r="C47" s="3" t="s">
        <v>66</v>
      </c>
      <c r="D47" s="3">
        <v>4</v>
      </c>
      <c r="E47" s="3">
        <v>40</v>
      </c>
      <c r="F47" s="4">
        <v>7</v>
      </c>
      <c r="G47" s="5">
        <v>46029</v>
      </c>
      <c r="H47" s="5" t="s">
        <v>63</v>
      </c>
      <c r="I47" s="4">
        <v>25</v>
      </c>
      <c r="J47" s="3" t="s">
        <v>14</v>
      </c>
      <c r="K47" s="7">
        <f>IFERROR(Series_Data[[#This Row],[Episodes]]/Series_Data[[#This Row],[Seasons]],0)</f>
        <v>10</v>
      </c>
      <c r="L47" s="3" t="str">
        <f>IF(Series_Data[[#This Row],[Rating]]&gt;=9,"Excellent",IF(Series_Data[[#This Row],[Rating]]&gt;=8,"Good",IF(Series_Data[[#This Row],[Rating]]&gt;=7,"Avg","Low")))</f>
        <v>Avg</v>
      </c>
      <c r="M47" s="3" t="str">
        <f>IF(Series_Data[[#This Row],[Watch Time (Hours)]]&gt;=40,"High",IF(Series_Data[[#This Row],[Watch Time (Hours)]]&gt;=20,"Medium","Low"))</f>
        <v>Medium</v>
      </c>
      <c r="N47" s="3" t="str">
        <f>IF(Series_Data[[#This Row],[Seasons]]=1,"Low",IF(Series_Data[[#This Row],[Seasons]]&lt;=3,"Medium","Long"))</f>
        <v>Long</v>
      </c>
      <c r="O47" t="str">
        <f t="shared" si="1"/>
        <v>Jan</v>
      </c>
    </row>
    <row r="48" spans="1:15" x14ac:dyDescent="0.3">
      <c r="A48" s="3" t="s">
        <v>147</v>
      </c>
      <c r="B48" s="3" t="s">
        <v>148</v>
      </c>
      <c r="C48" s="3" t="s">
        <v>49</v>
      </c>
      <c r="D48" s="3">
        <v>1</v>
      </c>
      <c r="E48" s="3">
        <v>8</v>
      </c>
      <c r="F48" s="4">
        <v>7.5</v>
      </c>
      <c r="G48" s="5">
        <v>46149</v>
      </c>
      <c r="H48" s="5">
        <v>46302</v>
      </c>
      <c r="I48" s="4">
        <v>8</v>
      </c>
      <c r="J48" s="3" t="s">
        <v>14</v>
      </c>
      <c r="K48" s="7">
        <f>IFERROR(Series_Data[[#This Row],[Episodes]]/Series_Data[[#This Row],[Seasons]],0)</f>
        <v>8</v>
      </c>
      <c r="L48" s="3" t="str">
        <f>IF(Series_Data[[#This Row],[Rating]]&gt;=9,"Excellent",IF(Series_Data[[#This Row],[Rating]]&gt;=8,"Good",IF(Series_Data[[#This Row],[Rating]]&gt;=7,"Avg","Low")))</f>
        <v>Avg</v>
      </c>
      <c r="M48" s="3" t="str">
        <f>IF(Series_Data[[#This Row],[Watch Time (Hours)]]&gt;=40,"High",IF(Series_Data[[#This Row],[Watch Time (Hours)]]&gt;=20,"Medium","Low"))</f>
        <v>Low</v>
      </c>
      <c r="N48" s="3" t="str">
        <f>IF(Series_Data[[#This Row],[Seasons]]=1,"Low",IF(Series_Data[[#This Row],[Seasons]]&lt;=3,"Medium","Long"))</f>
        <v>Low</v>
      </c>
      <c r="O48" t="str">
        <f t="shared" si="1"/>
        <v>May</v>
      </c>
    </row>
    <row r="49" spans="1:15" x14ac:dyDescent="0.3">
      <c r="A49" s="3" t="s">
        <v>149</v>
      </c>
      <c r="B49" s="3" t="s">
        <v>150</v>
      </c>
      <c r="C49" s="3" t="s">
        <v>49</v>
      </c>
      <c r="D49" s="3">
        <v>2</v>
      </c>
      <c r="E49" s="3">
        <v>16</v>
      </c>
      <c r="F49" s="4">
        <v>8.1</v>
      </c>
      <c r="G49" s="5">
        <v>46302</v>
      </c>
      <c r="H49" s="5" t="s">
        <v>104</v>
      </c>
      <c r="I49" s="4">
        <v>14</v>
      </c>
      <c r="J49" s="3" t="s">
        <v>14</v>
      </c>
      <c r="K49" s="7">
        <f>IFERROR(Series_Data[[#This Row],[Episodes]]/Series_Data[[#This Row],[Seasons]],0)</f>
        <v>8</v>
      </c>
      <c r="L49" s="3" t="str">
        <f>IF(Series_Data[[#This Row],[Rating]]&gt;=9,"Excellent",IF(Series_Data[[#This Row],[Rating]]&gt;=8,"Good",IF(Series_Data[[#This Row],[Rating]]&gt;=7,"Avg","Low")))</f>
        <v>Good</v>
      </c>
      <c r="M49" s="3" t="str">
        <f>IF(Series_Data[[#This Row],[Watch Time (Hours)]]&gt;=40,"High",IF(Series_Data[[#This Row],[Watch Time (Hours)]]&gt;=20,"Medium","Low"))</f>
        <v>Low</v>
      </c>
      <c r="N49" s="3" t="str">
        <f>IF(Series_Data[[#This Row],[Seasons]]=1,"Low",IF(Series_Data[[#This Row],[Seasons]]&lt;=3,"Medium","Long"))</f>
        <v>Medium</v>
      </c>
      <c r="O49" t="str">
        <f t="shared" si="1"/>
        <v>Oct</v>
      </c>
    </row>
    <row r="50" spans="1:15" x14ac:dyDescent="0.3">
      <c r="A50" s="3" t="s">
        <v>151</v>
      </c>
      <c r="B50" s="3" t="s">
        <v>152</v>
      </c>
      <c r="C50" s="3" t="s">
        <v>88</v>
      </c>
      <c r="D50" s="3">
        <v>3</v>
      </c>
      <c r="E50" s="3">
        <v>30</v>
      </c>
      <c r="F50" s="4">
        <v>7.8</v>
      </c>
      <c r="G50" s="5" t="s">
        <v>63</v>
      </c>
      <c r="H50" s="5" t="s">
        <v>153</v>
      </c>
      <c r="I50" s="4">
        <v>24</v>
      </c>
      <c r="J50" s="3" t="s">
        <v>14</v>
      </c>
      <c r="K50" s="7">
        <f>IFERROR(Series_Data[[#This Row],[Episodes]]/Series_Data[[#This Row],[Seasons]],0)</f>
        <v>10</v>
      </c>
      <c r="L50" s="3" t="str">
        <f>IF(Series_Data[[#This Row],[Rating]]&gt;=9,"Excellent",IF(Series_Data[[#This Row],[Rating]]&gt;=8,"Good",IF(Series_Data[[#This Row],[Rating]]&gt;=7,"Avg","Low")))</f>
        <v>Avg</v>
      </c>
      <c r="M50" s="3" t="str">
        <f>IF(Series_Data[[#This Row],[Watch Time (Hours)]]&gt;=40,"High",IF(Series_Data[[#This Row],[Watch Time (Hours)]]&gt;=20,"Medium","Low"))</f>
        <v>Medium</v>
      </c>
      <c r="N50" s="3" t="str">
        <f>IF(Series_Data[[#This Row],[Seasons]]=1,"Low",IF(Series_Data[[#This Row],[Seasons]]&lt;=3,"Medium","Long"))</f>
        <v>Medium</v>
      </c>
      <c r="O50" t="str">
        <f t="shared" si="1"/>
        <v>Jul</v>
      </c>
    </row>
    <row r="51" spans="1:15" x14ac:dyDescent="0.3">
      <c r="A51" s="3" t="s">
        <v>154</v>
      </c>
      <c r="B51" s="3" t="s">
        <v>155</v>
      </c>
      <c r="C51" s="3" t="s">
        <v>21</v>
      </c>
      <c r="D51" s="3">
        <v>4</v>
      </c>
      <c r="E51" s="3">
        <v>32</v>
      </c>
      <c r="F51" s="4">
        <v>7.9</v>
      </c>
      <c r="G51" s="5">
        <v>46030</v>
      </c>
      <c r="H51" s="5">
        <v>46364</v>
      </c>
      <c r="I51" s="4">
        <v>22</v>
      </c>
      <c r="J51" s="3" t="s">
        <v>14</v>
      </c>
      <c r="K51" s="7">
        <f>IFERROR(Series_Data[[#This Row],[Episodes]]/Series_Data[[#This Row],[Seasons]],0)</f>
        <v>8</v>
      </c>
      <c r="L51" s="3" t="str">
        <f>IF(Series_Data[[#This Row],[Rating]]&gt;=9,"Excellent",IF(Series_Data[[#This Row],[Rating]]&gt;=8,"Good",IF(Series_Data[[#This Row],[Rating]]&gt;=7,"Avg","Low")))</f>
        <v>Avg</v>
      </c>
      <c r="M51" s="3" t="str">
        <f>IF(Series_Data[[#This Row],[Watch Time (Hours)]]&gt;=40,"High",IF(Series_Data[[#This Row],[Watch Time (Hours)]]&gt;=20,"Medium","Low"))</f>
        <v>Medium</v>
      </c>
      <c r="N51" s="3" t="str">
        <f>IF(Series_Data[[#This Row],[Seasons]]=1,"Low",IF(Series_Data[[#This Row],[Seasons]]&lt;=3,"Medium","Long"))</f>
        <v>Long</v>
      </c>
      <c r="O51" t="str">
        <f t="shared" si="1"/>
        <v>Jan</v>
      </c>
    </row>
    <row r="52" spans="1:15" x14ac:dyDescent="0.3">
      <c r="A52" s="3" t="s">
        <v>156</v>
      </c>
      <c r="B52" s="3" t="s">
        <v>157</v>
      </c>
      <c r="C52" s="3" t="s">
        <v>25</v>
      </c>
      <c r="D52" s="3">
        <v>6</v>
      </c>
      <c r="E52" s="3">
        <v>108</v>
      </c>
      <c r="F52" s="4">
        <v>8</v>
      </c>
      <c r="G52" s="5">
        <v>46082</v>
      </c>
      <c r="H52" s="5" t="s">
        <v>18</v>
      </c>
      <c r="I52" s="4">
        <v>47</v>
      </c>
      <c r="J52" s="3" t="s">
        <v>14</v>
      </c>
      <c r="K52" s="7">
        <f>IFERROR(Series_Data[[#This Row],[Episodes]]/Series_Data[[#This Row],[Seasons]],0)</f>
        <v>18</v>
      </c>
      <c r="L52" s="3" t="str">
        <f>IF(Series_Data[[#This Row],[Rating]]&gt;=9,"Excellent",IF(Series_Data[[#This Row],[Rating]]&gt;=8,"Good",IF(Series_Data[[#This Row],[Rating]]&gt;=7,"Avg","Low")))</f>
        <v>Good</v>
      </c>
      <c r="M52" s="3" t="str">
        <f>IF(Series_Data[[#This Row],[Watch Time (Hours)]]&gt;=40,"High",IF(Series_Data[[#This Row],[Watch Time (Hours)]]&gt;=20,"Medium","Low"))</f>
        <v>High</v>
      </c>
      <c r="N52" s="3" t="str">
        <f>IF(Series_Data[[#This Row],[Seasons]]=1,"Low",IF(Series_Data[[#This Row],[Seasons]]&lt;=3,"Medium","Long"))</f>
        <v>Long</v>
      </c>
      <c r="O52" t="str">
        <f t="shared" si="1"/>
        <v>Mar</v>
      </c>
    </row>
    <row r="53" spans="1:15" x14ac:dyDescent="0.3">
      <c r="A53" s="3" t="s">
        <v>158</v>
      </c>
      <c r="B53" s="3" t="s">
        <v>159</v>
      </c>
      <c r="C53" s="3" t="s">
        <v>49</v>
      </c>
      <c r="D53" s="3">
        <v>5</v>
      </c>
      <c r="E53" s="3">
        <v>90</v>
      </c>
      <c r="F53" s="4">
        <v>8.3000000000000007</v>
      </c>
      <c r="G53" s="5">
        <v>46144</v>
      </c>
      <c r="H53" s="5" t="s">
        <v>160</v>
      </c>
      <c r="I53" s="4">
        <v>50</v>
      </c>
      <c r="J53" s="3" t="s">
        <v>14</v>
      </c>
      <c r="K53" s="7">
        <f>IFERROR(Series_Data[[#This Row],[Episodes]]/Series_Data[[#This Row],[Seasons]],0)</f>
        <v>18</v>
      </c>
      <c r="L53" s="3" t="str">
        <f>IF(Series_Data[[#This Row],[Rating]]&gt;=9,"Excellent",IF(Series_Data[[#This Row],[Rating]]&gt;=8,"Good",IF(Series_Data[[#This Row],[Rating]]&gt;=7,"Avg","Low")))</f>
        <v>Good</v>
      </c>
      <c r="M53" s="3" t="str">
        <f>IF(Series_Data[[#This Row],[Watch Time (Hours)]]&gt;=40,"High",IF(Series_Data[[#This Row],[Watch Time (Hours)]]&gt;=20,"Medium","Low"))</f>
        <v>High</v>
      </c>
      <c r="N53" s="3" t="str">
        <f>IF(Series_Data[[#This Row],[Seasons]]=1,"Low",IF(Series_Data[[#This Row],[Seasons]]&lt;=3,"Medium","Long"))</f>
        <v>Long</v>
      </c>
      <c r="O53" t="str">
        <f t="shared" si="1"/>
        <v>May</v>
      </c>
    </row>
    <row r="54" spans="1:15" x14ac:dyDescent="0.3">
      <c r="A54" s="3" t="s">
        <v>161</v>
      </c>
      <c r="B54" s="3" t="s">
        <v>162</v>
      </c>
      <c r="C54" s="3" t="s">
        <v>53</v>
      </c>
      <c r="D54" s="3">
        <v>9</v>
      </c>
      <c r="E54" s="3">
        <v>208</v>
      </c>
      <c r="F54" s="4">
        <v>8.3000000000000007</v>
      </c>
      <c r="G54" s="5">
        <v>46025</v>
      </c>
      <c r="H54" s="5" t="s">
        <v>163</v>
      </c>
      <c r="I54" s="4">
        <v>62</v>
      </c>
      <c r="J54" s="3" t="s">
        <v>14</v>
      </c>
      <c r="K54" s="7">
        <f>IFERROR(Series_Data[[#This Row],[Episodes]]/Series_Data[[#This Row],[Seasons]],0)</f>
        <v>23.111111111111111</v>
      </c>
      <c r="L54" s="3" t="str">
        <f>IF(Series_Data[[#This Row],[Rating]]&gt;=9,"Excellent",IF(Series_Data[[#This Row],[Rating]]&gt;=8,"Good",IF(Series_Data[[#This Row],[Rating]]&gt;=7,"Avg","Low")))</f>
        <v>Good</v>
      </c>
      <c r="M54" s="3" t="str">
        <f>IF(Series_Data[[#This Row],[Watch Time (Hours)]]&gt;=40,"High",IF(Series_Data[[#This Row],[Watch Time (Hours)]]&gt;=20,"Medium","Low"))</f>
        <v>High</v>
      </c>
      <c r="N54" s="3" t="str">
        <f>IF(Series_Data[[#This Row],[Seasons]]=1,"Low",IF(Series_Data[[#This Row],[Seasons]]&lt;=3,"Medium","Long"))</f>
        <v>Long</v>
      </c>
      <c r="O54" t="str">
        <f t="shared" si="1"/>
        <v>Jan</v>
      </c>
    </row>
    <row r="55" spans="1:15" x14ac:dyDescent="0.3">
      <c r="A55" s="3" t="s">
        <v>164</v>
      </c>
      <c r="B55" s="3" t="s">
        <v>165</v>
      </c>
      <c r="C55" s="3" t="s">
        <v>53</v>
      </c>
      <c r="D55" s="3">
        <v>10</v>
      </c>
      <c r="E55" s="3">
        <v>236</v>
      </c>
      <c r="F55" s="4">
        <v>8.9</v>
      </c>
      <c r="G55" s="5">
        <v>46146</v>
      </c>
      <c r="H55" s="5">
        <v>46300</v>
      </c>
      <c r="I55" s="4">
        <v>70</v>
      </c>
      <c r="J55" s="3" t="s">
        <v>14</v>
      </c>
      <c r="K55" s="7">
        <f>IFERROR(Series_Data[[#This Row],[Episodes]]/Series_Data[[#This Row],[Seasons]],0)</f>
        <v>23.6</v>
      </c>
      <c r="L55" s="3" t="str">
        <f>IF(Series_Data[[#This Row],[Rating]]&gt;=9,"Excellent",IF(Series_Data[[#This Row],[Rating]]&gt;=8,"Good",IF(Series_Data[[#This Row],[Rating]]&gt;=7,"Avg","Low")))</f>
        <v>Good</v>
      </c>
      <c r="M55" s="3" t="str">
        <f>IF(Series_Data[[#This Row],[Watch Time (Hours)]]&gt;=40,"High",IF(Series_Data[[#This Row],[Watch Time (Hours)]]&gt;=20,"Medium","Low"))</f>
        <v>High</v>
      </c>
      <c r="N55" s="3" t="str">
        <f>IF(Series_Data[[#This Row],[Seasons]]=1,"Low",IF(Series_Data[[#This Row],[Seasons]]&lt;=3,"Medium","Long"))</f>
        <v>Long</v>
      </c>
      <c r="O55" t="str">
        <f t="shared" si="1"/>
        <v>May</v>
      </c>
    </row>
    <row r="56" spans="1:15" x14ac:dyDescent="0.3">
      <c r="A56" s="3" t="s">
        <v>166</v>
      </c>
      <c r="B56" s="3" t="s">
        <v>167</v>
      </c>
      <c r="C56" s="3" t="s">
        <v>53</v>
      </c>
      <c r="D56" s="3">
        <v>9</v>
      </c>
      <c r="E56" s="3">
        <v>201</v>
      </c>
      <c r="F56" s="4">
        <v>8.8000000000000007</v>
      </c>
      <c r="G56" s="5" t="s">
        <v>36</v>
      </c>
      <c r="H56" s="5" t="s">
        <v>132</v>
      </c>
      <c r="I56" s="4">
        <v>66</v>
      </c>
      <c r="J56" s="3" t="s">
        <v>14</v>
      </c>
      <c r="K56" s="7">
        <f>IFERROR(Series_Data[[#This Row],[Episodes]]/Series_Data[[#This Row],[Seasons]],0)</f>
        <v>22.333333333333332</v>
      </c>
      <c r="L56" s="3" t="str">
        <f>IF(Series_Data[[#This Row],[Rating]]&gt;=9,"Excellent",IF(Series_Data[[#This Row],[Rating]]&gt;=8,"Good",IF(Series_Data[[#This Row],[Rating]]&gt;=7,"Avg","Low")))</f>
        <v>Good</v>
      </c>
      <c r="M56" s="3" t="str">
        <f>IF(Series_Data[[#This Row],[Watch Time (Hours)]]&gt;=40,"High",IF(Series_Data[[#This Row],[Watch Time (Hours)]]&gt;=20,"Medium","Low"))</f>
        <v>High</v>
      </c>
      <c r="N56" s="3" t="str">
        <f>IF(Series_Data[[#This Row],[Seasons]]=1,"Low",IF(Series_Data[[#This Row],[Seasons]]&lt;=3,"Medium","Long"))</f>
        <v>Long</v>
      </c>
      <c r="O56" t="str">
        <f t="shared" si="1"/>
        <v>Apr</v>
      </c>
    </row>
    <row r="57" spans="1:15" x14ac:dyDescent="0.3">
      <c r="A57" s="3" t="s">
        <v>168</v>
      </c>
      <c r="B57" s="3" t="s">
        <v>169</v>
      </c>
      <c r="C57" s="3" t="s">
        <v>53</v>
      </c>
      <c r="D57" s="3">
        <v>11</v>
      </c>
      <c r="E57" s="3">
        <v>250</v>
      </c>
      <c r="F57" s="4">
        <v>8.5</v>
      </c>
      <c r="G57" s="5">
        <v>46027</v>
      </c>
      <c r="H57" s="5" t="s">
        <v>56</v>
      </c>
      <c r="I57" s="4">
        <v>72</v>
      </c>
      <c r="J57" s="3" t="s">
        <v>14</v>
      </c>
      <c r="K57" s="7">
        <f>IFERROR(Series_Data[[#This Row],[Episodes]]/Series_Data[[#This Row],[Seasons]],0)</f>
        <v>22.727272727272727</v>
      </c>
      <c r="L57" s="3" t="str">
        <f>IF(Series_Data[[#This Row],[Rating]]&gt;=9,"Excellent",IF(Series_Data[[#This Row],[Rating]]&gt;=8,"Good",IF(Series_Data[[#This Row],[Rating]]&gt;=7,"Avg","Low")))</f>
        <v>Good</v>
      </c>
      <c r="M57" s="3" t="str">
        <f>IF(Series_Data[[#This Row],[Watch Time (Hours)]]&gt;=40,"High",IF(Series_Data[[#This Row],[Watch Time (Hours)]]&gt;=20,"Medium","Low"))</f>
        <v>High</v>
      </c>
      <c r="N57" s="3" t="str">
        <f>IF(Series_Data[[#This Row],[Seasons]]=1,"Low",IF(Series_Data[[#This Row],[Seasons]]&lt;=3,"Medium","Long"))</f>
        <v>Long</v>
      </c>
      <c r="O57" t="str">
        <f t="shared" si="1"/>
        <v>Jan</v>
      </c>
    </row>
    <row r="58" spans="1:15" x14ac:dyDescent="0.3">
      <c r="A58" s="3" t="s">
        <v>170</v>
      </c>
      <c r="B58" s="3" t="s">
        <v>171</v>
      </c>
      <c r="C58" s="3" t="s">
        <v>53</v>
      </c>
      <c r="D58" s="3">
        <v>8</v>
      </c>
      <c r="E58" s="3">
        <v>153</v>
      </c>
      <c r="F58" s="4">
        <v>8.4</v>
      </c>
      <c r="G58" s="5">
        <v>46148</v>
      </c>
      <c r="H58" s="5" t="s">
        <v>101</v>
      </c>
      <c r="I58" s="4">
        <v>52</v>
      </c>
      <c r="J58" s="3" t="s">
        <v>14</v>
      </c>
      <c r="K58" s="7">
        <f>IFERROR(Series_Data[[#This Row],[Episodes]]/Series_Data[[#This Row],[Seasons]],0)</f>
        <v>19.125</v>
      </c>
      <c r="L58" s="3" t="str">
        <f>IF(Series_Data[[#This Row],[Rating]]&gt;=9,"Excellent",IF(Series_Data[[#This Row],[Rating]]&gt;=8,"Good",IF(Series_Data[[#This Row],[Rating]]&gt;=7,"Avg","Low")))</f>
        <v>Good</v>
      </c>
      <c r="M58" s="3" t="str">
        <f>IF(Series_Data[[#This Row],[Watch Time (Hours)]]&gt;=40,"High",IF(Series_Data[[#This Row],[Watch Time (Hours)]]&gt;=20,"Medium","Low"))</f>
        <v>High</v>
      </c>
      <c r="N58" s="3" t="str">
        <f>IF(Series_Data[[#This Row],[Seasons]]=1,"Low",IF(Series_Data[[#This Row],[Seasons]]&lt;=3,"Medium","Long"))</f>
        <v>Long</v>
      </c>
      <c r="O58" t="str">
        <f t="shared" si="1"/>
        <v>May</v>
      </c>
    </row>
    <row r="59" spans="1:15" x14ac:dyDescent="0.3">
      <c r="A59" s="3" t="s">
        <v>172</v>
      </c>
      <c r="B59" s="3" t="s">
        <v>173</v>
      </c>
      <c r="C59" s="3" t="s">
        <v>53</v>
      </c>
      <c r="D59" s="3">
        <v>6</v>
      </c>
      <c r="E59" s="3">
        <v>110</v>
      </c>
      <c r="F59" s="4">
        <v>8.5</v>
      </c>
      <c r="G59" s="5">
        <v>46029</v>
      </c>
      <c r="H59" s="5" t="s">
        <v>104</v>
      </c>
      <c r="I59" s="4">
        <v>40</v>
      </c>
      <c r="J59" s="3" t="s">
        <v>14</v>
      </c>
      <c r="K59" s="7">
        <f>IFERROR(Series_Data[[#This Row],[Episodes]]/Series_Data[[#This Row],[Seasons]],0)</f>
        <v>18.333333333333332</v>
      </c>
      <c r="L59" s="3" t="str">
        <f>IF(Series_Data[[#This Row],[Rating]]&gt;=9,"Excellent",IF(Series_Data[[#This Row],[Rating]]&gt;=8,"Good",IF(Series_Data[[#This Row],[Rating]]&gt;=7,"Avg","Low")))</f>
        <v>Good</v>
      </c>
      <c r="M59" s="3" t="str">
        <f>IF(Series_Data[[#This Row],[Watch Time (Hours)]]&gt;=40,"High",IF(Series_Data[[#This Row],[Watch Time (Hours)]]&gt;=20,"Medium","Low"))</f>
        <v>High</v>
      </c>
      <c r="N59" s="3" t="str">
        <f>IF(Series_Data[[#This Row],[Seasons]]=1,"Low",IF(Series_Data[[#This Row],[Seasons]]&lt;=3,"Medium","Long"))</f>
        <v>Long</v>
      </c>
      <c r="O59" t="str">
        <f t="shared" si="1"/>
        <v>Jan</v>
      </c>
    </row>
    <row r="60" spans="1:15" x14ac:dyDescent="0.3">
      <c r="A60" s="3" t="s">
        <v>174</v>
      </c>
      <c r="B60" s="3" t="s">
        <v>175</v>
      </c>
      <c r="C60" s="3" t="s">
        <v>12</v>
      </c>
      <c r="D60" s="3">
        <v>3</v>
      </c>
      <c r="E60" s="3">
        <v>25</v>
      </c>
      <c r="F60" s="4">
        <v>7.8</v>
      </c>
      <c r="G60" s="5">
        <v>46149</v>
      </c>
      <c r="H60" s="5" t="s">
        <v>63</v>
      </c>
      <c r="I60" s="4">
        <v>20</v>
      </c>
      <c r="J60" s="3" t="s">
        <v>14</v>
      </c>
      <c r="K60" s="7">
        <f>IFERROR(Series_Data[[#This Row],[Episodes]]/Series_Data[[#This Row],[Seasons]],0)</f>
        <v>8.3333333333333339</v>
      </c>
      <c r="L60" s="3" t="str">
        <f>IF(Series_Data[[#This Row],[Rating]]&gt;=9,"Excellent",IF(Series_Data[[#This Row],[Rating]]&gt;=8,"Good",IF(Series_Data[[#This Row],[Rating]]&gt;=7,"Avg","Low")))</f>
        <v>Avg</v>
      </c>
      <c r="M60" s="3" t="str">
        <f>IF(Series_Data[[#This Row],[Watch Time (Hours)]]&gt;=40,"High",IF(Series_Data[[#This Row],[Watch Time (Hours)]]&gt;=20,"Medium","Low"))</f>
        <v>Medium</v>
      </c>
      <c r="N60" s="3" t="str">
        <f>IF(Series_Data[[#This Row],[Seasons]]=1,"Low",IF(Series_Data[[#This Row],[Seasons]]&lt;=3,"Medium","Long"))</f>
        <v>Medium</v>
      </c>
      <c r="O60" t="str">
        <f t="shared" si="1"/>
        <v>May</v>
      </c>
    </row>
    <row r="61" spans="1:15" x14ac:dyDescent="0.3">
      <c r="A61" s="3" t="s">
        <v>176</v>
      </c>
      <c r="B61" s="3" t="s">
        <v>177</v>
      </c>
      <c r="C61" s="3" t="s">
        <v>12</v>
      </c>
      <c r="D61" s="3">
        <v>2</v>
      </c>
      <c r="E61" s="3">
        <v>18</v>
      </c>
      <c r="F61" s="4">
        <v>7.9</v>
      </c>
      <c r="G61" s="5">
        <v>46302</v>
      </c>
      <c r="H61" s="5" t="s">
        <v>104</v>
      </c>
      <c r="I61" s="4">
        <v>16</v>
      </c>
      <c r="J61" s="3" t="s">
        <v>14</v>
      </c>
      <c r="K61" s="7">
        <f>IFERROR(Series_Data[[#This Row],[Episodes]]/Series_Data[[#This Row],[Seasons]],0)</f>
        <v>9</v>
      </c>
      <c r="L61" s="3" t="str">
        <f>IF(Series_Data[[#This Row],[Rating]]&gt;=9,"Excellent",IF(Series_Data[[#This Row],[Rating]]&gt;=8,"Good",IF(Series_Data[[#This Row],[Rating]]&gt;=7,"Avg","Low")))</f>
        <v>Avg</v>
      </c>
      <c r="M61" s="3" t="str">
        <f>IF(Series_Data[[#This Row],[Watch Time (Hours)]]&gt;=40,"High",IF(Series_Data[[#This Row],[Watch Time (Hours)]]&gt;=20,"Medium","Low"))</f>
        <v>Low</v>
      </c>
      <c r="N61" s="3" t="str">
        <f>IF(Series_Data[[#This Row],[Seasons]]=1,"Low",IF(Series_Data[[#This Row],[Seasons]]&lt;=3,"Medium","Long"))</f>
        <v>Medium</v>
      </c>
      <c r="O61" t="str">
        <f t="shared" si="1"/>
        <v>Oct</v>
      </c>
    </row>
    <row r="62" spans="1:15" x14ac:dyDescent="0.3">
      <c r="A62" s="3" t="s">
        <v>178</v>
      </c>
      <c r="B62" s="3" t="s">
        <v>179</v>
      </c>
      <c r="C62" s="3" t="s">
        <v>12</v>
      </c>
      <c r="D62" s="3">
        <v>3</v>
      </c>
      <c r="E62" s="3">
        <v>34</v>
      </c>
      <c r="F62" s="4">
        <v>8</v>
      </c>
      <c r="G62" s="5">
        <v>46030</v>
      </c>
      <c r="H62" s="5">
        <v>46364</v>
      </c>
      <c r="I62" s="4">
        <v>24</v>
      </c>
      <c r="J62" s="3" t="s">
        <v>14</v>
      </c>
      <c r="K62" s="7">
        <f>IFERROR(Series_Data[[#This Row],[Episodes]]/Series_Data[[#This Row],[Seasons]],0)</f>
        <v>11.333333333333334</v>
      </c>
      <c r="L62" s="3" t="str">
        <f>IF(Series_Data[[#This Row],[Rating]]&gt;=9,"Excellent",IF(Series_Data[[#This Row],[Rating]]&gt;=8,"Good",IF(Series_Data[[#This Row],[Rating]]&gt;=7,"Avg","Low")))</f>
        <v>Good</v>
      </c>
      <c r="M62" s="3" t="str">
        <f>IF(Series_Data[[#This Row],[Watch Time (Hours)]]&gt;=40,"High",IF(Series_Data[[#This Row],[Watch Time (Hours)]]&gt;=20,"Medium","Low"))</f>
        <v>Medium</v>
      </c>
      <c r="N62" s="3" t="str">
        <f>IF(Series_Data[[#This Row],[Seasons]]=1,"Low",IF(Series_Data[[#This Row],[Seasons]]&lt;=3,"Medium","Long"))</f>
        <v>Medium</v>
      </c>
      <c r="O62" t="str">
        <f t="shared" si="1"/>
        <v>Jan</v>
      </c>
    </row>
    <row r="63" spans="1:15" x14ac:dyDescent="0.3">
      <c r="A63" s="3" t="s">
        <v>180</v>
      </c>
      <c r="B63" s="3" t="s">
        <v>181</v>
      </c>
      <c r="C63" s="3" t="s">
        <v>12</v>
      </c>
      <c r="D63" s="3">
        <v>6</v>
      </c>
      <c r="E63" s="3">
        <v>62</v>
      </c>
      <c r="F63" s="4">
        <v>8.5</v>
      </c>
      <c r="G63" s="5">
        <v>46143</v>
      </c>
      <c r="H63" s="5" t="s">
        <v>26</v>
      </c>
      <c r="I63" s="4">
        <v>43</v>
      </c>
      <c r="J63" s="3" t="s">
        <v>14</v>
      </c>
      <c r="K63" s="7">
        <f>IFERROR(Series_Data[[#This Row],[Episodes]]/Series_Data[[#This Row],[Seasons]],0)</f>
        <v>10.333333333333334</v>
      </c>
      <c r="L63" s="3" t="str">
        <f>IF(Series_Data[[#This Row],[Rating]]&gt;=9,"Excellent",IF(Series_Data[[#This Row],[Rating]]&gt;=8,"Good",IF(Series_Data[[#This Row],[Rating]]&gt;=7,"Avg","Low")))</f>
        <v>Good</v>
      </c>
      <c r="M63" s="3" t="str">
        <f>IF(Series_Data[[#This Row],[Watch Time (Hours)]]&gt;=40,"High",IF(Series_Data[[#This Row],[Watch Time (Hours)]]&gt;=20,"Medium","Low"))</f>
        <v>High</v>
      </c>
      <c r="N63" s="3" t="str">
        <f>IF(Series_Data[[#This Row],[Seasons]]=1,"Low",IF(Series_Data[[#This Row],[Seasons]]&lt;=3,"Medium","Long"))</f>
        <v>Long</v>
      </c>
      <c r="O63" t="str">
        <f t="shared" si="1"/>
        <v>May</v>
      </c>
    </row>
    <row r="64" spans="1:15" x14ac:dyDescent="0.3">
      <c r="A64" s="3" t="s">
        <v>182</v>
      </c>
      <c r="B64" s="3" t="s">
        <v>183</v>
      </c>
      <c r="C64" s="3" t="s">
        <v>12</v>
      </c>
      <c r="D64" s="3">
        <v>2</v>
      </c>
      <c r="E64" s="3">
        <v>20</v>
      </c>
      <c r="F64" s="4">
        <v>7.8</v>
      </c>
      <c r="G64" s="5">
        <v>46297</v>
      </c>
      <c r="H64" s="5" t="s">
        <v>27</v>
      </c>
      <c r="I64" s="4">
        <v>18</v>
      </c>
      <c r="J64" s="3" t="s">
        <v>14</v>
      </c>
      <c r="K64" s="7">
        <f>IFERROR(Series_Data[[#This Row],[Episodes]]/Series_Data[[#This Row],[Seasons]],0)</f>
        <v>10</v>
      </c>
      <c r="L64" s="3" t="str">
        <f>IF(Series_Data[[#This Row],[Rating]]&gt;=9,"Excellent",IF(Series_Data[[#This Row],[Rating]]&gt;=8,"Good",IF(Series_Data[[#This Row],[Rating]]&gt;=7,"Avg","Low")))</f>
        <v>Avg</v>
      </c>
      <c r="M64" s="3" t="str">
        <f>IF(Series_Data[[#This Row],[Watch Time (Hours)]]&gt;=40,"High",IF(Series_Data[[#This Row],[Watch Time (Hours)]]&gt;=20,"Medium","Low"))</f>
        <v>Low</v>
      </c>
      <c r="N64" s="3" t="str">
        <f>IF(Series_Data[[#This Row],[Seasons]]=1,"Low",IF(Series_Data[[#This Row],[Seasons]]&lt;=3,"Medium","Long"))</f>
        <v>Medium</v>
      </c>
      <c r="O64" t="str">
        <f t="shared" si="1"/>
        <v>Oct</v>
      </c>
    </row>
    <row r="65" spans="1:15" x14ac:dyDescent="0.3">
      <c r="A65" s="3" t="s">
        <v>184</v>
      </c>
      <c r="B65" s="3" t="s">
        <v>185</v>
      </c>
      <c r="C65" s="3" t="s">
        <v>12</v>
      </c>
      <c r="D65" s="3">
        <v>1</v>
      </c>
      <c r="E65" s="3">
        <v>12</v>
      </c>
      <c r="F65" s="4">
        <v>8.4</v>
      </c>
      <c r="G65" s="5">
        <v>46145</v>
      </c>
      <c r="H65" s="5" t="s">
        <v>30</v>
      </c>
      <c r="I65" s="4">
        <v>13</v>
      </c>
      <c r="J65" s="3" t="s">
        <v>14</v>
      </c>
      <c r="K65" s="7">
        <f>IFERROR(Series_Data[[#This Row],[Episodes]]/Series_Data[[#This Row],[Seasons]],0)</f>
        <v>12</v>
      </c>
      <c r="L65" s="3" t="str">
        <f>IF(Series_Data[[#This Row],[Rating]]&gt;=9,"Excellent",IF(Series_Data[[#This Row],[Rating]]&gt;=8,"Good",IF(Series_Data[[#This Row],[Rating]]&gt;=7,"Avg","Low")))</f>
        <v>Good</v>
      </c>
      <c r="M65" s="3" t="str">
        <f>IF(Series_Data[[#This Row],[Watch Time (Hours)]]&gt;=40,"High",IF(Series_Data[[#This Row],[Watch Time (Hours)]]&gt;=20,"Medium","Low"))</f>
        <v>Low</v>
      </c>
      <c r="N65" s="3" t="str">
        <f>IF(Series_Data[[#This Row],[Seasons]]=1,"Low",IF(Series_Data[[#This Row],[Seasons]]&lt;=3,"Medium","Long"))</f>
        <v>Low</v>
      </c>
      <c r="O65" t="str">
        <f t="shared" si="1"/>
        <v>May</v>
      </c>
    </row>
    <row r="66" spans="1:15" x14ac:dyDescent="0.3">
      <c r="A66" s="3" t="s">
        <v>186</v>
      </c>
      <c r="B66" s="3" t="s">
        <v>187</v>
      </c>
      <c r="C66" s="3" t="s">
        <v>45</v>
      </c>
      <c r="D66" s="3">
        <v>4</v>
      </c>
      <c r="E66" s="3">
        <v>45</v>
      </c>
      <c r="F66" s="4">
        <v>8.5</v>
      </c>
      <c r="G66" s="5">
        <v>46298</v>
      </c>
      <c r="H66" s="5" t="s">
        <v>120</v>
      </c>
      <c r="I66" s="4">
        <v>34</v>
      </c>
      <c r="J66" s="3" t="s">
        <v>14</v>
      </c>
      <c r="K66" s="7">
        <f>IFERROR(Series_Data[[#This Row],[Episodes]]/Series_Data[[#This Row],[Seasons]],0)</f>
        <v>11.25</v>
      </c>
      <c r="L66" s="3" t="str">
        <f>IF(Series_Data[[#This Row],[Rating]]&gt;=9,"Excellent",IF(Series_Data[[#This Row],[Rating]]&gt;=8,"Good",IF(Series_Data[[#This Row],[Rating]]&gt;=7,"Avg","Low")))</f>
        <v>Good</v>
      </c>
      <c r="M66" s="3" t="str">
        <f>IF(Series_Data[[#This Row],[Watch Time (Hours)]]&gt;=40,"High",IF(Series_Data[[#This Row],[Watch Time (Hours)]]&gt;=20,"Medium","Low"))</f>
        <v>Medium</v>
      </c>
      <c r="N66" s="3" t="str">
        <f>IF(Series_Data[[#This Row],[Seasons]]=1,"Low",IF(Series_Data[[#This Row],[Seasons]]&lt;=3,"Medium","Long"))</f>
        <v>Long</v>
      </c>
      <c r="O66" t="str">
        <f t="shared" ref="O66:O102" si="2">IF(G66="","",IF(ISNUMBER(G66),TEXT(G66,"mmm"),IF(LEFT(G66,4)="2026",TEXT(DATE(LEFT(G66,4),MID(G66,6,2),1),"mmm"),TEXT(DATE(RIGHT(G66,4),MID(G66,4,2),1),"mmm"))))</f>
        <v>Oct</v>
      </c>
    </row>
    <row r="67" spans="1:15" x14ac:dyDescent="0.3">
      <c r="A67" s="3" t="s">
        <v>188</v>
      </c>
      <c r="B67" s="3" t="s">
        <v>79</v>
      </c>
      <c r="C67" s="3" t="s">
        <v>45</v>
      </c>
      <c r="D67" s="3">
        <v>4</v>
      </c>
      <c r="E67" s="3">
        <v>40</v>
      </c>
      <c r="F67" s="4">
        <v>8.1999999999999993</v>
      </c>
      <c r="G67" s="5">
        <v>46026</v>
      </c>
      <c r="H67" s="5" t="s">
        <v>94</v>
      </c>
      <c r="I67" s="4">
        <v>30</v>
      </c>
      <c r="J67" s="3" t="s">
        <v>14</v>
      </c>
      <c r="K67" s="7">
        <f>IFERROR(Series_Data[[#This Row],[Episodes]]/Series_Data[[#This Row],[Seasons]],0)</f>
        <v>10</v>
      </c>
      <c r="L67" s="3" t="str">
        <f>IF(Series_Data[[#This Row],[Rating]]&gt;=9,"Excellent",IF(Series_Data[[#This Row],[Rating]]&gt;=8,"Good",IF(Series_Data[[#This Row],[Rating]]&gt;=7,"Avg","Low")))</f>
        <v>Good</v>
      </c>
      <c r="M67" s="3" t="str">
        <f>IF(Series_Data[[#This Row],[Watch Time (Hours)]]&gt;=40,"High",IF(Series_Data[[#This Row],[Watch Time (Hours)]]&gt;=20,"Medium","Low"))</f>
        <v>Medium</v>
      </c>
      <c r="N67" s="3" t="str">
        <f>IF(Series_Data[[#This Row],[Seasons]]=1,"Low",IF(Series_Data[[#This Row],[Seasons]]&lt;=3,"Medium","Long"))</f>
        <v>Long</v>
      </c>
      <c r="O67" t="str">
        <f t="shared" si="2"/>
        <v>Jan</v>
      </c>
    </row>
    <row r="68" spans="1:15" x14ac:dyDescent="0.3">
      <c r="A68" s="3" t="s">
        <v>189</v>
      </c>
      <c r="B68" s="3" t="s">
        <v>190</v>
      </c>
      <c r="C68" s="3" t="s">
        <v>45</v>
      </c>
      <c r="D68" s="3">
        <v>1</v>
      </c>
      <c r="E68" s="3">
        <v>6</v>
      </c>
      <c r="F68" s="4">
        <v>8</v>
      </c>
      <c r="G68" s="5">
        <v>46147</v>
      </c>
      <c r="H68" s="5">
        <v>46300</v>
      </c>
      <c r="I68" s="4">
        <v>6.5</v>
      </c>
      <c r="J68" s="3" t="s">
        <v>14</v>
      </c>
      <c r="K68" s="7">
        <f>IFERROR(Series_Data[[#This Row],[Episodes]]/Series_Data[[#This Row],[Seasons]],0)</f>
        <v>6</v>
      </c>
      <c r="L68" s="3" t="str">
        <f>IF(Series_Data[[#This Row],[Rating]]&gt;=9,"Excellent",IF(Series_Data[[#This Row],[Rating]]&gt;=8,"Good",IF(Series_Data[[#This Row],[Rating]]&gt;=7,"Avg","Low")))</f>
        <v>Good</v>
      </c>
      <c r="M68" s="3" t="str">
        <f>IF(Series_Data[[#This Row],[Watch Time (Hours)]]&gt;=40,"High",IF(Series_Data[[#This Row],[Watch Time (Hours)]]&gt;=20,"Medium","Low"))</f>
        <v>Low</v>
      </c>
      <c r="N68" s="3" t="str">
        <f>IF(Series_Data[[#This Row],[Seasons]]=1,"Low",IF(Series_Data[[#This Row],[Seasons]]&lt;=3,"Medium","Long"))</f>
        <v>Low</v>
      </c>
      <c r="O68" t="str">
        <f t="shared" si="2"/>
        <v>May</v>
      </c>
    </row>
    <row r="69" spans="1:15" x14ac:dyDescent="0.3">
      <c r="A69" s="3" t="s">
        <v>191</v>
      </c>
      <c r="B69" s="3" t="s">
        <v>192</v>
      </c>
      <c r="C69" s="3" t="s">
        <v>45</v>
      </c>
      <c r="D69" s="3">
        <v>3</v>
      </c>
      <c r="E69" s="3">
        <v>17</v>
      </c>
      <c r="F69" s="4">
        <v>8.1</v>
      </c>
      <c r="G69" s="5">
        <v>46300</v>
      </c>
      <c r="H69" s="5" t="s">
        <v>132</v>
      </c>
      <c r="I69" s="4">
        <v>14</v>
      </c>
      <c r="J69" s="3" t="s">
        <v>14</v>
      </c>
      <c r="K69" s="7">
        <f>IFERROR(Series_Data[[#This Row],[Episodes]]/Series_Data[[#This Row],[Seasons]],0)</f>
        <v>5.666666666666667</v>
      </c>
      <c r="L69" s="3" t="str">
        <f>IF(Series_Data[[#This Row],[Rating]]&gt;=9,"Excellent",IF(Series_Data[[#This Row],[Rating]]&gt;=8,"Good",IF(Series_Data[[#This Row],[Rating]]&gt;=7,"Avg","Low")))</f>
        <v>Good</v>
      </c>
      <c r="M69" s="3" t="str">
        <f>IF(Series_Data[[#This Row],[Watch Time (Hours)]]&gt;=40,"High",IF(Series_Data[[#This Row],[Watch Time (Hours)]]&gt;=20,"Medium","Low"))</f>
        <v>Low</v>
      </c>
      <c r="N69" s="3" t="str">
        <f>IF(Series_Data[[#This Row],[Seasons]]=1,"Low",IF(Series_Data[[#This Row],[Seasons]]&lt;=3,"Medium","Long"))</f>
        <v>Medium</v>
      </c>
      <c r="O69" t="str">
        <f t="shared" si="2"/>
        <v>Oct</v>
      </c>
    </row>
    <row r="70" spans="1:15" x14ac:dyDescent="0.3">
      <c r="A70" s="3" t="s">
        <v>193</v>
      </c>
      <c r="B70" s="3" t="s">
        <v>194</v>
      </c>
      <c r="C70" s="3" t="s">
        <v>88</v>
      </c>
      <c r="D70" s="3">
        <v>1</v>
      </c>
      <c r="E70" s="3">
        <v>10</v>
      </c>
      <c r="F70" s="4">
        <v>8.6</v>
      </c>
      <c r="G70" s="5">
        <v>46028</v>
      </c>
      <c r="H70" s="5">
        <v>46301</v>
      </c>
      <c r="I70" s="4">
        <v>10</v>
      </c>
      <c r="J70" s="3" t="s">
        <v>14</v>
      </c>
      <c r="K70" s="7">
        <f>IFERROR(Series_Data[[#This Row],[Episodes]]/Series_Data[[#This Row],[Seasons]],0)</f>
        <v>10</v>
      </c>
      <c r="L70" s="3" t="str">
        <f>IF(Series_Data[[#This Row],[Rating]]&gt;=9,"Excellent",IF(Series_Data[[#This Row],[Rating]]&gt;=8,"Good",IF(Series_Data[[#This Row],[Rating]]&gt;=7,"Avg","Low")))</f>
        <v>Good</v>
      </c>
      <c r="M70" s="3" t="str">
        <f>IF(Series_Data[[#This Row],[Watch Time (Hours)]]&gt;=40,"High",IF(Series_Data[[#This Row],[Watch Time (Hours)]]&gt;=20,"Medium","Low"))</f>
        <v>Low</v>
      </c>
      <c r="N70" s="3" t="str">
        <f>IF(Series_Data[[#This Row],[Seasons]]=1,"Low",IF(Series_Data[[#This Row],[Seasons]]&lt;=3,"Medium","Long"))</f>
        <v>Low</v>
      </c>
      <c r="O70" t="str">
        <f t="shared" si="2"/>
        <v>Jan</v>
      </c>
    </row>
    <row r="71" spans="1:15" x14ac:dyDescent="0.3">
      <c r="A71" s="3" t="s">
        <v>195</v>
      </c>
      <c r="B71" s="3" t="s">
        <v>196</v>
      </c>
      <c r="C71" s="3" t="s">
        <v>88</v>
      </c>
      <c r="D71" s="3">
        <v>1</v>
      </c>
      <c r="E71" s="3">
        <v>7</v>
      </c>
      <c r="F71" s="4">
        <v>7.7</v>
      </c>
      <c r="G71" s="5">
        <v>46148</v>
      </c>
      <c r="H71" s="5">
        <v>46362</v>
      </c>
      <c r="I71" s="4">
        <v>8</v>
      </c>
      <c r="J71" s="3" t="s">
        <v>14</v>
      </c>
      <c r="K71" s="7">
        <f>IFERROR(Series_Data[[#This Row],[Episodes]]/Series_Data[[#This Row],[Seasons]],0)</f>
        <v>7</v>
      </c>
      <c r="L71" s="3" t="str">
        <f>IF(Series_Data[[#This Row],[Rating]]&gt;=9,"Excellent",IF(Series_Data[[#This Row],[Rating]]&gt;=8,"Good",IF(Series_Data[[#This Row],[Rating]]&gt;=7,"Avg","Low")))</f>
        <v>Avg</v>
      </c>
      <c r="M71" s="3" t="str">
        <f>IF(Series_Data[[#This Row],[Watch Time (Hours)]]&gt;=40,"High",IF(Series_Data[[#This Row],[Watch Time (Hours)]]&gt;=20,"Medium","Low"))</f>
        <v>Low</v>
      </c>
      <c r="N71" s="3" t="str">
        <f>IF(Series_Data[[#This Row],[Seasons]]=1,"Low",IF(Series_Data[[#This Row],[Seasons]]&lt;=3,"Medium","Long"))</f>
        <v>Low</v>
      </c>
      <c r="O71" t="str">
        <f t="shared" si="2"/>
        <v>May</v>
      </c>
    </row>
    <row r="72" spans="1:15" x14ac:dyDescent="0.3">
      <c r="A72" s="3" t="s">
        <v>197</v>
      </c>
      <c r="B72" s="3" t="s">
        <v>198</v>
      </c>
      <c r="C72" s="3" t="s">
        <v>88</v>
      </c>
      <c r="D72" s="3">
        <v>1</v>
      </c>
      <c r="E72" s="3">
        <v>8</v>
      </c>
      <c r="F72" s="4">
        <v>7.3</v>
      </c>
      <c r="G72" s="5">
        <v>46029</v>
      </c>
      <c r="H72" s="5">
        <v>46302</v>
      </c>
      <c r="I72" s="4">
        <v>9</v>
      </c>
      <c r="J72" s="3" t="s">
        <v>14</v>
      </c>
      <c r="K72" s="7">
        <f>IFERROR(Series_Data[[#This Row],[Episodes]]/Series_Data[[#This Row],[Seasons]],0)</f>
        <v>8</v>
      </c>
      <c r="L72" s="3" t="str">
        <f>IF(Series_Data[[#This Row],[Rating]]&gt;=9,"Excellent",IF(Series_Data[[#This Row],[Rating]]&gt;=8,"Good",IF(Series_Data[[#This Row],[Rating]]&gt;=7,"Avg","Low")))</f>
        <v>Avg</v>
      </c>
      <c r="M72" s="3" t="str">
        <f>IF(Series_Data[[#This Row],[Watch Time (Hours)]]&gt;=40,"High",IF(Series_Data[[#This Row],[Watch Time (Hours)]]&gt;=20,"Medium","Low"))</f>
        <v>Low</v>
      </c>
      <c r="N72" s="3" t="str">
        <f>IF(Series_Data[[#This Row],[Seasons]]=1,"Low",IF(Series_Data[[#This Row],[Seasons]]&lt;=3,"Medium","Long"))</f>
        <v>Low</v>
      </c>
      <c r="O72" t="str">
        <f t="shared" si="2"/>
        <v>Jan</v>
      </c>
    </row>
    <row r="73" spans="1:15" x14ac:dyDescent="0.3">
      <c r="A73" s="3" t="s">
        <v>199</v>
      </c>
      <c r="B73" s="3" t="s">
        <v>200</v>
      </c>
      <c r="C73" s="3" t="s">
        <v>88</v>
      </c>
      <c r="D73" s="3">
        <v>11</v>
      </c>
      <c r="E73" s="3">
        <v>177</v>
      </c>
      <c r="F73" s="4">
        <v>8.1</v>
      </c>
      <c r="G73" s="5">
        <v>46143</v>
      </c>
      <c r="H73" s="5" t="s">
        <v>30</v>
      </c>
      <c r="I73" s="4">
        <v>75</v>
      </c>
      <c r="J73" s="3" t="s">
        <v>14</v>
      </c>
      <c r="K73" s="7">
        <f>IFERROR(Series_Data[[#This Row],[Episodes]]/Series_Data[[#This Row],[Seasons]],0)</f>
        <v>16.09090909090909</v>
      </c>
      <c r="L73" s="3" t="str">
        <f>IF(Series_Data[[#This Row],[Rating]]&gt;=9,"Excellent",IF(Series_Data[[#This Row],[Rating]]&gt;=8,"Good",IF(Series_Data[[#This Row],[Rating]]&gt;=7,"Avg","Low")))</f>
        <v>Good</v>
      </c>
      <c r="M73" s="3" t="str">
        <f>IF(Series_Data[[#This Row],[Watch Time (Hours)]]&gt;=40,"High",IF(Series_Data[[#This Row],[Watch Time (Hours)]]&gt;=20,"Medium","Low"))</f>
        <v>High</v>
      </c>
      <c r="N73" s="3" t="str">
        <f>IF(Series_Data[[#This Row],[Seasons]]=1,"Low",IF(Series_Data[[#This Row],[Seasons]]&lt;=3,"Medium","Long"))</f>
        <v>Long</v>
      </c>
      <c r="O73" t="str">
        <f t="shared" si="2"/>
        <v>May</v>
      </c>
    </row>
    <row r="74" spans="1:15" x14ac:dyDescent="0.3">
      <c r="A74" s="3" t="s">
        <v>201</v>
      </c>
      <c r="B74" s="3" t="s">
        <v>202</v>
      </c>
      <c r="C74" s="3" t="s">
        <v>88</v>
      </c>
      <c r="D74" s="3">
        <v>8</v>
      </c>
      <c r="E74" s="3">
        <v>113</v>
      </c>
      <c r="F74" s="4">
        <v>6.8</v>
      </c>
      <c r="G74" s="5">
        <v>46299</v>
      </c>
      <c r="H74" s="5" t="s">
        <v>132</v>
      </c>
      <c r="I74" s="4">
        <v>55</v>
      </c>
      <c r="J74" s="3" t="s">
        <v>14</v>
      </c>
      <c r="K74" s="7">
        <f>IFERROR(Series_Data[[#This Row],[Episodes]]/Series_Data[[#This Row],[Seasons]],0)</f>
        <v>14.125</v>
      </c>
      <c r="L74" s="3" t="str">
        <f>IF(Series_Data[[#This Row],[Rating]]&gt;=9,"Excellent",IF(Series_Data[[#This Row],[Rating]]&gt;=8,"Good",IF(Series_Data[[#This Row],[Rating]]&gt;=7,"Avg","Low")))</f>
        <v>Low</v>
      </c>
      <c r="M74" s="3" t="str">
        <f>IF(Series_Data[[#This Row],[Watch Time (Hours)]]&gt;=40,"High",IF(Series_Data[[#This Row],[Watch Time (Hours)]]&gt;=20,"Medium","Low"))</f>
        <v>High</v>
      </c>
      <c r="N74" s="3" t="str">
        <f>IF(Series_Data[[#This Row],[Seasons]]=1,"Low",IF(Series_Data[[#This Row],[Seasons]]&lt;=3,"Medium","Long"))</f>
        <v>Long</v>
      </c>
      <c r="O74" t="str">
        <f t="shared" si="2"/>
        <v>Oct</v>
      </c>
    </row>
    <row r="75" spans="1:15" x14ac:dyDescent="0.3">
      <c r="A75" s="3" t="s">
        <v>203</v>
      </c>
      <c r="B75" s="3" t="s">
        <v>204</v>
      </c>
      <c r="C75" s="3" t="s">
        <v>88</v>
      </c>
      <c r="D75" s="3">
        <v>2</v>
      </c>
      <c r="E75" s="3">
        <v>12</v>
      </c>
      <c r="F75" s="4">
        <v>8.3000000000000007</v>
      </c>
      <c r="G75" s="5">
        <v>46028</v>
      </c>
      <c r="H75" s="5">
        <v>46301</v>
      </c>
      <c r="I75" s="4">
        <v>11</v>
      </c>
      <c r="J75" s="3" t="s">
        <v>14</v>
      </c>
      <c r="K75" s="7">
        <f>IFERROR(Series_Data[[#This Row],[Episodes]]/Series_Data[[#This Row],[Seasons]],0)</f>
        <v>6</v>
      </c>
      <c r="L75" s="3" t="str">
        <f>IF(Series_Data[[#This Row],[Rating]]&gt;=9,"Excellent",IF(Series_Data[[#This Row],[Rating]]&gt;=8,"Good",IF(Series_Data[[#This Row],[Rating]]&gt;=7,"Avg","Low")))</f>
        <v>Good</v>
      </c>
      <c r="M75" s="3" t="str">
        <f>IF(Series_Data[[#This Row],[Watch Time (Hours)]]&gt;=40,"High",IF(Series_Data[[#This Row],[Watch Time (Hours)]]&gt;=20,"Medium","Low"))</f>
        <v>Low</v>
      </c>
      <c r="N75" s="3" t="str">
        <f>IF(Series_Data[[#This Row],[Seasons]]=1,"Low",IF(Series_Data[[#This Row],[Seasons]]&lt;=3,"Medium","Long"))</f>
        <v>Medium</v>
      </c>
      <c r="O75" t="str">
        <f t="shared" si="2"/>
        <v>Jan</v>
      </c>
    </row>
    <row r="76" spans="1:15" x14ac:dyDescent="0.3">
      <c r="A76" s="3" t="s">
        <v>205</v>
      </c>
      <c r="B76" s="3" t="s">
        <v>206</v>
      </c>
      <c r="C76" s="3" t="s">
        <v>88</v>
      </c>
      <c r="D76" s="3">
        <v>3</v>
      </c>
      <c r="E76" s="3">
        <v>26</v>
      </c>
      <c r="F76" s="4">
        <v>7.3</v>
      </c>
      <c r="G76" s="5">
        <v>46149</v>
      </c>
      <c r="H76" s="5" t="s">
        <v>104</v>
      </c>
      <c r="I76" s="4">
        <v>22</v>
      </c>
      <c r="J76" s="3" t="s">
        <v>14</v>
      </c>
      <c r="K76" s="7">
        <f>IFERROR(Series_Data[[#This Row],[Episodes]]/Series_Data[[#This Row],[Seasons]],0)</f>
        <v>8.6666666666666661</v>
      </c>
      <c r="L76" s="3" t="str">
        <f>IF(Series_Data[[#This Row],[Rating]]&gt;=9,"Excellent",IF(Series_Data[[#This Row],[Rating]]&gt;=8,"Good",IF(Series_Data[[#This Row],[Rating]]&gt;=7,"Avg","Low")))</f>
        <v>Avg</v>
      </c>
      <c r="M76" s="3" t="str">
        <f>IF(Series_Data[[#This Row],[Watch Time (Hours)]]&gt;=40,"High",IF(Series_Data[[#This Row],[Watch Time (Hours)]]&gt;=20,"Medium","Low"))</f>
        <v>Medium</v>
      </c>
      <c r="N76" s="3" t="str">
        <f>IF(Series_Data[[#This Row],[Seasons]]=1,"Low",IF(Series_Data[[#This Row],[Seasons]]&lt;=3,"Medium","Long"))</f>
        <v>Medium</v>
      </c>
      <c r="O76" t="str">
        <f t="shared" si="2"/>
        <v>May</v>
      </c>
    </row>
    <row r="77" spans="1:15" x14ac:dyDescent="0.3">
      <c r="A77" s="3" t="s">
        <v>207</v>
      </c>
      <c r="B77" s="3" t="s">
        <v>208</v>
      </c>
      <c r="C77" s="3" t="s">
        <v>25</v>
      </c>
      <c r="D77" s="3">
        <v>1</v>
      </c>
      <c r="E77" s="3">
        <v>20</v>
      </c>
      <c r="F77" s="4">
        <v>8.4</v>
      </c>
      <c r="G77" s="5">
        <v>46024</v>
      </c>
      <c r="H77" s="5" t="s">
        <v>26</v>
      </c>
      <c r="I77" s="4">
        <v>19</v>
      </c>
      <c r="J77" s="3" t="s">
        <v>14</v>
      </c>
      <c r="K77" s="7">
        <f>IFERROR(Series_Data[[#This Row],[Episodes]]/Series_Data[[#This Row],[Seasons]],0)</f>
        <v>20</v>
      </c>
      <c r="L77" s="3" t="str">
        <f>IF(Series_Data[[#This Row],[Rating]]&gt;=9,"Excellent",IF(Series_Data[[#This Row],[Rating]]&gt;=8,"Good",IF(Series_Data[[#This Row],[Rating]]&gt;=7,"Avg","Low")))</f>
        <v>Good</v>
      </c>
      <c r="M77" s="3" t="str">
        <f>IF(Series_Data[[#This Row],[Watch Time (Hours)]]&gt;=40,"High",IF(Series_Data[[#This Row],[Watch Time (Hours)]]&gt;=20,"Medium","Low"))</f>
        <v>Low</v>
      </c>
      <c r="N77" s="3" t="str">
        <f>IF(Series_Data[[#This Row],[Seasons]]=1,"Low",IF(Series_Data[[#This Row],[Seasons]]&lt;=3,"Medium","Long"))</f>
        <v>Low</v>
      </c>
      <c r="O77" t="str">
        <f t="shared" si="2"/>
        <v>Jan</v>
      </c>
    </row>
    <row r="78" spans="1:15" x14ac:dyDescent="0.3">
      <c r="A78" s="3" t="s">
        <v>209</v>
      </c>
      <c r="B78" s="3" t="s">
        <v>210</v>
      </c>
      <c r="C78" s="3" t="s">
        <v>66</v>
      </c>
      <c r="D78" s="3">
        <v>1</v>
      </c>
      <c r="E78" s="3">
        <v>16</v>
      </c>
      <c r="F78" s="4">
        <v>8.6999999999999993</v>
      </c>
      <c r="G78" s="5">
        <v>46145</v>
      </c>
      <c r="H78" s="5" t="s">
        <v>117</v>
      </c>
      <c r="I78" s="4">
        <v>17</v>
      </c>
      <c r="J78" s="3" t="s">
        <v>14</v>
      </c>
      <c r="K78" s="7">
        <f>IFERROR(Series_Data[[#This Row],[Episodes]]/Series_Data[[#This Row],[Seasons]],0)</f>
        <v>16</v>
      </c>
      <c r="L78" s="3" t="str">
        <f>IF(Series_Data[[#This Row],[Rating]]&gt;=9,"Excellent",IF(Series_Data[[#This Row],[Rating]]&gt;=8,"Good",IF(Series_Data[[#This Row],[Rating]]&gt;=7,"Avg","Low")))</f>
        <v>Good</v>
      </c>
      <c r="M78" s="3" t="str">
        <f>IF(Series_Data[[#This Row],[Watch Time (Hours)]]&gt;=40,"High",IF(Series_Data[[#This Row],[Watch Time (Hours)]]&gt;=20,"Medium","Low"))</f>
        <v>Low</v>
      </c>
      <c r="N78" s="3" t="str">
        <f>IF(Series_Data[[#This Row],[Seasons]]=1,"Low",IF(Series_Data[[#This Row],[Seasons]]&lt;=3,"Medium","Long"))</f>
        <v>Low</v>
      </c>
      <c r="O78" t="str">
        <f t="shared" si="2"/>
        <v>May</v>
      </c>
    </row>
    <row r="79" spans="1:15" x14ac:dyDescent="0.3">
      <c r="A79" s="3" t="s">
        <v>211</v>
      </c>
      <c r="B79" s="3" t="s">
        <v>212</v>
      </c>
      <c r="C79" s="3" t="s">
        <v>25</v>
      </c>
      <c r="D79" s="3">
        <v>1</v>
      </c>
      <c r="E79" s="3">
        <v>16</v>
      </c>
      <c r="F79" s="4">
        <v>8.1999999999999993</v>
      </c>
      <c r="G79" s="5">
        <v>46026</v>
      </c>
      <c r="H79" s="5" t="s">
        <v>36</v>
      </c>
      <c r="I79" s="4">
        <v>16</v>
      </c>
      <c r="J79" s="3" t="s">
        <v>14</v>
      </c>
      <c r="K79" s="7">
        <f>IFERROR(Series_Data[[#This Row],[Episodes]]/Series_Data[[#This Row],[Seasons]],0)</f>
        <v>16</v>
      </c>
      <c r="L79" s="3" t="str">
        <f>IF(Series_Data[[#This Row],[Rating]]&gt;=9,"Excellent",IF(Series_Data[[#This Row],[Rating]]&gt;=8,"Good",IF(Series_Data[[#This Row],[Rating]]&gt;=7,"Avg","Low")))</f>
        <v>Good</v>
      </c>
      <c r="M79" s="3" t="str">
        <f>IF(Series_Data[[#This Row],[Watch Time (Hours)]]&gt;=40,"High",IF(Series_Data[[#This Row],[Watch Time (Hours)]]&gt;=20,"Medium","Low"))</f>
        <v>Low</v>
      </c>
      <c r="N79" s="3" t="str">
        <f>IF(Series_Data[[#This Row],[Seasons]]=1,"Low",IF(Series_Data[[#This Row],[Seasons]]&lt;=3,"Medium","Long"))</f>
        <v>Low</v>
      </c>
      <c r="O79" t="str">
        <f t="shared" si="2"/>
        <v>Jan</v>
      </c>
    </row>
    <row r="80" spans="1:15" x14ac:dyDescent="0.3">
      <c r="A80" s="3" t="s">
        <v>213</v>
      </c>
      <c r="B80" s="3" t="s">
        <v>214</v>
      </c>
      <c r="C80" s="3" t="s">
        <v>49</v>
      </c>
      <c r="D80" s="3">
        <v>1</v>
      </c>
      <c r="E80" s="3">
        <v>8</v>
      </c>
      <c r="F80" s="4">
        <v>7.8</v>
      </c>
      <c r="G80" s="5">
        <v>46147</v>
      </c>
      <c r="H80" s="5">
        <v>46361</v>
      </c>
      <c r="I80" s="4">
        <v>8</v>
      </c>
      <c r="J80" s="3" t="s">
        <v>14</v>
      </c>
      <c r="K80" s="7">
        <f>IFERROR(Series_Data[[#This Row],[Episodes]]/Series_Data[[#This Row],[Seasons]],0)</f>
        <v>8</v>
      </c>
      <c r="L80" s="3" t="str">
        <f>IF(Series_Data[[#This Row],[Rating]]&gt;=9,"Excellent",IF(Series_Data[[#This Row],[Rating]]&gt;=8,"Good",IF(Series_Data[[#This Row],[Rating]]&gt;=7,"Avg","Low")))</f>
        <v>Avg</v>
      </c>
      <c r="M80" s="3" t="str">
        <f>IF(Series_Data[[#This Row],[Watch Time (Hours)]]&gt;=40,"High",IF(Series_Data[[#This Row],[Watch Time (Hours)]]&gt;=20,"Medium","Low"))</f>
        <v>Low</v>
      </c>
      <c r="N80" s="3" t="str">
        <f>IF(Series_Data[[#This Row],[Seasons]]=1,"Low",IF(Series_Data[[#This Row],[Seasons]]&lt;=3,"Medium","Long"))</f>
        <v>Low</v>
      </c>
      <c r="O80" t="str">
        <f t="shared" si="2"/>
        <v>May</v>
      </c>
    </row>
    <row r="81" spans="1:15" x14ac:dyDescent="0.3">
      <c r="A81" s="3" t="s">
        <v>215</v>
      </c>
      <c r="B81" s="3" t="s">
        <v>216</v>
      </c>
      <c r="C81" s="3" t="s">
        <v>17</v>
      </c>
      <c r="D81" s="3">
        <v>2</v>
      </c>
      <c r="E81" s="3">
        <v>30</v>
      </c>
      <c r="F81" s="4">
        <v>8.6999999999999993</v>
      </c>
      <c r="G81" s="5">
        <v>46028</v>
      </c>
      <c r="H81" s="5" t="s">
        <v>101</v>
      </c>
      <c r="I81" s="4">
        <v>27</v>
      </c>
      <c r="J81" s="3" t="s">
        <v>14</v>
      </c>
      <c r="K81" s="7">
        <f>IFERROR(Series_Data[[#This Row],[Episodes]]/Series_Data[[#This Row],[Seasons]],0)</f>
        <v>15</v>
      </c>
      <c r="L81" s="3" t="str">
        <f>IF(Series_Data[[#This Row],[Rating]]&gt;=9,"Excellent",IF(Series_Data[[#This Row],[Rating]]&gt;=8,"Good",IF(Series_Data[[#This Row],[Rating]]&gt;=7,"Avg","Low")))</f>
        <v>Good</v>
      </c>
      <c r="M81" s="3" t="str">
        <f>IF(Series_Data[[#This Row],[Watch Time (Hours)]]&gt;=40,"High",IF(Series_Data[[#This Row],[Watch Time (Hours)]]&gt;=20,"Medium","Low"))</f>
        <v>Medium</v>
      </c>
      <c r="N81" s="3" t="str">
        <f>IF(Series_Data[[#This Row],[Seasons]]=1,"Low",IF(Series_Data[[#This Row],[Seasons]]&lt;=3,"Medium","Long"))</f>
        <v>Medium</v>
      </c>
      <c r="O81" t="str">
        <f t="shared" si="2"/>
        <v>Jan</v>
      </c>
    </row>
    <row r="82" spans="1:15" x14ac:dyDescent="0.3">
      <c r="A82" s="3" t="s">
        <v>217</v>
      </c>
      <c r="B82" s="3" t="s">
        <v>218</v>
      </c>
      <c r="C82" s="3" t="s">
        <v>66</v>
      </c>
      <c r="D82" s="3">
        <v>1</v>
      </c>
      <c r="E82" s="3">
        <v>16</v>
      </c>
      <c r="F82" s="4">
        <v>7.8</v>
      </c>
      <c r="G82" s="5">
        <v>46149</v>
      </c>
      <c r="H82" s="5" t="s">
        <v>104</v>
      </c>
      <c r="I82" s="4">
        <v>15</v>
      </c>
      <c r="J82" s="3" t="s">
        <v>14</v>
      </c>
      <c r="K82" s="7">
        <f>IFERROR(Series_Data[[#This Row],[Episodes]]/Series_Data[[#This Row],[Seasons]],0)</f>
        <v>16</v>
      </c>
      <c r="L82" s="3" t="str">
        <f>IF(Series_Data[[#This Row],[Rating]]&gt;=9,"Excellent",IF(Series_Data[[#This Row],[Rating]]&gt;=8,"Good",IF(Series_Data[[#This Row],[Rating]]&gt;=7,"Avg","Low")))</f>
        <v>Avg</v>
      </c>
      <c r="M82" s="3" t="str">
        <f>IF(Series_Data[[#This Row],[Watch Time (Hours)]]&gt;=40,"High",IF(Series_Data[[#This Row],[Watch Time (Hours)]]&gt;=20,"Medium","Low"))</f>
        <v>Low</v>
      </c>
      <c r="N82" s="3" t="str">
        <f>IF(Series_Data[[#This Row],[Seasons]]=1,"Low",IF(Series_Data[[#This Row],[Seasons]]&lt;=3,"Medium","Long"))</f>
        <v>Low</v>
      </c>
      <c r="O82" t="str">
        <f t="shared" si="2"/>
        <v>May</v>
      </c>
    </row>
    <row r="83" spans="1:15" x14ac:dyDescent="0.3">
      <c r="A83" s="3" t="s">
        <v>219</v>
      </c>
      <c r="B83" s="3" t="s">
        <v>220</v>
      </c>
      <c r="C83" s="3" t="s">
        <v>62</v>
      </c>
      <c r="D83" s="3">
        <v>2</v>
      </c>
      <c r="E83" s="3">
        <v>24</v>
      </c>
      <c r="F83" s="4">
        <v>8</v>
      </c>
      <c r="G83" s="5">
        <v>46302</v>
      </c>
      <c r="H83" s="5" t="s">
        <v>107</v>
      </c>
      <c r="I83" s="4">
        <v>18</v>
      </c>
      <c r="J83" s="3" t="s">
        <v>14</v>
      </c>
      <c r="K83" s="7">
        <f>IFERROR(Series_Data[[#This Row],[Episodes]]/Series_Data[[#This Row],[Seasons]],0)</f>
        <v>12</v>
      </c>
      <c r="L83" s="3" t="str">
        <f>IF(Series_Data[[#This Row],[Rating]]&gt;=9,"Excellent",IF(Series_Data[[#This Row],[Rating]]&gt;=8,"Good",IF(Series_Data[[#This Row],[Rating]]&gt;=7,"Avg","Low")))</f>
        <v>Good</v>
      </c>
      <c r="M83" s="3" t="str">
        <f>IF(Series_Data[[#This Row],[Watch Time (Hours)]]&gt;=40,"High",IF(Series_Data[[#This Row],[Watch Time (Hours)]]&gt;=20,"Medium","Low"))</f>
        <v>Low</v>
      </c>
      <c r="N83" s="3" t="str">
        <f>IF(Series_Data[[#This Row],[Seasons]]=1,"Low",IF(Series_Data[[#This Row],[Seasons]]&lt;=3,"Medium","Long"))</f>
        <v>Medium</v>
      </c>
      <c r="O83" t="str">
        <f t="shared" si="2"/>
        <v>Oct</v>
      </c>
    </row>
    <row r="84" spans="1:15" x14ac:dyDescent="0.3">
      <c r="A84" s="3" t="s">
        <v>221</v>
      </c>
      <c r="B84" s="3" t="s">
        <v>222</v>
      </c>
      <c r="C84" s="3" t="s">
        <v>62</v>
      </c>
      <c r="D84" s="3">
        <v>4</v>
      </c>
      <c r="E84" s="3">
        <v>55</v>
      </c>
      <c r="F84" s="4">
        <v>8.6</v>
      </c>
      <c r="G84" s="5">
        <v>46030</v>
      </c>
      <c r="H84" s="5" t="s">
        <v>67</v>
      </c>
      <c r="I84" s="4">
        <v>35</v>
      </c>
      <c r="J84" s="3" t="s">
        <v>14</v>
      </c>
      <c r="K84" s="7">
        <f>IFERROR(Series_Data[[#This Row],[Episodes]]/Series_Data[[#This Row],[Seasons]],0)</f>
        <v>13.75</v>
      </c>
      <c r="L84" s="3" t="str">
        <f>IF(Series_Data[[#This Row],[Rating]]&gt;=9,"Excellent",IF(Series_Data[[#This Row],[Rating]]&gt;=8,"Good",IF(Series_Data[[#This Row],[Rating]]&gt;=7,"Avg","Low")))</f>
        <v>Good</v>
      </c>
      <c r="M84" s="3" t="str">
        <f>IF(Series_Data[[#This Row],[Watch Time (Hours)]]&gt;=40,"High",IF(Series_Data[[#This Row],[Watch Time (Hours)]]&gt;=20,"Medium","Low"))</f>
        <v>Medium</v>
      </c>
      <c r="N84" s="3" t="str">
        <f>IF(Series_Data[[#This Row],[Seasons]]=1,"Low",IF(Series_Data[[#This Row],[Seasons]]&lt;=3,"Medium","Long"))</f>
        <v>Long</v>
      </c>
      <c r="O84" t="str">
        <f t="shared" si="2"/>
        <v>Jan</v>
      </c>
    </row>
    <row r="85" spans="1:15" x14ac:dyDescent="0.3">
      <c r="A85" s="3" t="s">
        <v>223</v>
      </c>
      <c r="B85" s="3" t="s">
        <v>224</v>
      </c>
      <c r="C85" s="3" t="s">
        <v>62</v>
      </c>
      <c r="D85" s="3">
        <v>4</v>
      </c>
      <c r="E85" s="3">
        <v>89</v>
      </c>
      <c r="F85" s="4">
        <v>9.1</v>
      </c>
      <c r="G85" s="5">
        <v>46143</v>
      </c>
      <c r="H85" s="5">
        <v>46297</v>
      </c>
      <c r="I85" s="4">
        <v>48</v>
      </c>
      <c r="J85" s="3" t="s">
        <v>14</v>
      </c>
      <c r="K85" s="7">
        <f>IFERROR(Series_Data[[#This Row],[Episodes]]/Series_Data[[#This Row],[Seasons]],0)</f>
        <v>22.25</v>
      </c>
      <c r="L85" s="3" t="str">
        <f>IF(Series_Data[[#This Row],[Rating]]&gt;=9,"Excellent",IF(Series_Data[[#This Row],[Rating]]&gt;=8,"Good",IF(Series_Data[[#This Row],[Rating]]&gt;=7,"Avg","Low")))</f>
        <v>Excellent</v>
      </c>
      <c r="M85" s="3" t="str">
        <f>IF(Series_Data[[#This Row],[Watch Time (Hours)]]&gt;=40,"High",IF(Series_Data[[#This Row],[Watch Time (Hours)]]&gt;=20,"Medium","Low"))</f>
        <v>High</v>
      </c>
      <c r="N85" s="3" t="str">
        <f>IF(Series_Data[[#This Row],[Seasons]]=1,"Low",IF(Series_Data[[#This Row],[Seasons]]&lt;=3,"Medium","Long"))</f>
        <v>Long</v>
      </c>
      <c r="O85" t="str">
        <f t="shared" si="2"/>
        <v>May</v>
      </c>
    </row>
    <row r="86" spans="1:15" x14ac:dyDescent="0.3">
      <c r="A86" s="3" t="s">
        <v>225</v>
      </c>
      <c r="B86" s="3" t="s">
        <v>226</v>
      </c>
      <c r="C86" s="3" t="s">
        <v>62</v>
      </c>
      <c r="D86" s="3">
        <v>2</v>
      </c>
      <c r="E86" s="3">
        <v>47</v>
      </c>
      <c r="F86" s="4">
        <v>8.6999999999999993</v>
      </c>
      <c r="G86" s="5">
        <v>46025</v>
      </c>
      <c r="H86" s="5" t="s">
        <v>117</v>
      </c>
      <c r="I86" s="4">
        <v>30</v>
      </c>
      <c r="J86" s="3" t="s">
        <v>14</v>
      </c>
      <c r="K86" s="7">
        <f>IFERROR(Series_Data[[#This Row],[Episodes]]/Series_Data[[#This Row],[Seasons]],0)</f>
        <v>23.5</v>
      </c>
      <c r="L86" s="3" t="str">
        <f>IF(Series_Data[[#This Row],[Rating]]&gt;=9,"Excellent",IF(Series_Data[[#This Row],[Rating]]&gt;=8,"Good",IF(Series_Data[[#This Row],[Rating]]&gt;=7,"Avg","Low")))</f>
        <v>Good</v>
      </c>
      <c r="M86" s="3" t="str">
        <f>IF(Series_Data[[#This Row],[Watch Time (Hours)]]&gt;=40,"High",IF(Series_Data[[#This Row],[Watch Time (Hours)]]&gt;=20,"Medium","Low"))</f>
        <v>Medium</v>
      </c>
      <c r="N86" s="3" t="str">
        <f>IF(Series_Data[[#This Row],[Seasons]]=1,"Low",IF(Series_Data[[#This Row],[Seasons]]&lt;=3,"Medium","Long"))</f>
        <v>Medium</v>
      </c>
      <c r="O86" t="str">
        <f t="shared" si="2"/>
        <v>Jan</v>
      </c>
    </row>
    <row r="87" spans="1:15" x14ac:dyDescent="0.3">
      <c r="A87" s="3" t="s">
        <v>227</v>
      </c>
      <c r="B87" s="3" t="s">
        <v>228</v>
      </c>
      <c r="C87" s="3" t="s">
        <v>62</v>
      </c>
      <c r="D87" s="3">
        <v>1</v>
      </c>
      <c r="E87" s="3">
        <v>37</v>
      </c>
      <c r="F87" s="4">
        <v>8.9</v>
      </c>
      <c r="G87" s="5">
        <v>46146</v>
      </c>
      <c r="H87" s="5" t="s">
        <v>94</v>
      </c>
      <c r="I87" s="4">
        <v>24</v>
      </c>
      <c r="J87" s="3" t="s">
        <v>14</v>
      </c>
      <c r="K87" s="7">
        <f>IFERROR(Series_Data[[#This Row],[Episodes]]/Series_Data[[#This Row],[Seasons]],0)</f>
        <v>37</v>
      </c>
      <c r="L87" s="3" t="str">
        <f>IF(Series_Data[[#This Row],[Rating]]&gt;=9,"Excellent",IF(Series_Data[[#This Row],[Rating]]&gt;=8,"Good",IF(Series_Data[[#This Row],[Rating]]&gt;=7,"Avg","Low")))</f>
        <v>Good</v>
      </c>
      <c r="M87" s="3" t="str">
        <f>IF(Series_Data[[#This Row],[Watch Time (Hours)]]&gt;=40,"High",IF(Series_Data[[#This Row],[Watch Time (Hours)]]&gt;=20,"Medium","Low"))</f>
        <v>Medium</v>
      </c>
      <c r="N87" s="3" t="str">
        <f>IF(Series_Data[[#This Row],[Seasons]]=1,"Low",IF(Series_Data[[#This Row],[Seasons]]&lt;=3,"Medium","Long"))</f>
        <v>Low</v>
      </c>
      <c r="O87" t="str">
        <f t="shared" si="2"/>
        <v>May</v>
      </c>
    </row>
    <row r="88" spans="1:15" x14ac:dyDescent="0.3">
      <c r="A88" s="3" t="s">
        <v>229</v>
      </c>
      <c r="B88" s="3" t="s">
        <v>230</v>
      </c>
      <c r="C88" s="3" t="s">
        <v>62</v>
      </c>
      <c r="D88" s="3">
        <v>5</v>
      </c>
      <c r="E88" s="3">
        <v>220</v>
      </c>
      <c r="F88" s="4">
        <v>8.4</v>
      </c>
      <c r="G88" s="5">
        <v>46027</v>
      </c>
      <c r="H88" s="5" t="s">
        <v>57</v>
      </c>
      <c r="I88" s="4">
        <v>80</v>
      </c>
      <c r="J88" s="3" t="s">
        <v>14</v>
      </c>
      <c r="K88" s="7">
        <f>IFERROR(Series_Data[[#This Row],[Episodes]]/Series_Data[[#This Row],[Seasons]],0)</f>
        <v>44</v>
      </c>
      <c r="L88" s="3" t="str">
        <f>IF(Series_Data[[#This Row],[Rating]]&gt;=9,"Excellent",IF(Series_Data[[#This Row],[Rating]]&gt;=8,"Good",IF(Series_Data[[#This Row],[Rating]]&gt;=7,"Avg","Low")))</f>
        <v>Good</v>
      </c>
      <c r="M88" s="3" t="str">
        <f>IF(Series_Data[[#This Row],[Watch Time (Hours)]]&gt;=40,"High",IF(Series_Data[[#This Row],[Watch Time (Hours)]]&gt;=20,"Medium","Low"))</f>
        <v>High</v>
      </c>
      <c r="N88" s="3" t="str">
        <f>IF(Series_Data[[#This Row],[Seasons]]=1,"Low",IF(Series_Data[[#This Row],[Seasons]]&lt;=3,"Medium","Long"))</f>
        <v>Long</v>
      </c>
      <c r="O88" t="str">
        <f t="shared" si="2"/>
        <v>Jan</v>
      </c>
    </row>
    <row r="89" spans="1:15" x14ac:dyDescent="0.3">
      <c r="A89" s="3" t="s">
        <v>231</v>
      </c>
      <c r="B89" s="3" t="s">
        <v>232</v>
      </c>
      <c r="C89" s="3" t="s">
        <v>62</v>
      </c>
      <c r="D89" s="3">
        <v>2</v>
      </c>
      <c r="E89" s="3">
        <v>24</v>
      </c>
      <c r="F89" s="4">
        <v>8.6</v>
      </c>
      <c r="G89" s="5">
        <v>46149</v>
      </c>
      <c r="H89" s="5" t="s">
        <v>63</v>
      </c>
      <c r="I89" s="4">
        <v>17</v>
      </c>
      <c r="J89" s="3" t="s">
        <v>14</v>
      </c>
      <c r="K89" s="7">
        <f>IFERROR(Series_Data[[#This Row],[Episodes]]/Series_Data[[#This Row],[Seasons]],0)</f>
        <v>12</v>
      </c>
      <c r="L89" s="3" t="str">
        <f>IF(Series_Data[[#This Row],[Rating]]&gt;=9,"Excellent",IF(Series_Data[[#This Row],[Rating]]&gt;=8,"Good",IF(Series_Data[[#This Row],[Rating]]&gt;=7,"Avg","Low")))</f>
        <v>Good</v>
      </c>
      <c r="M89" s="3" t="str">
        <f>IF(Series_Data[[#This Row],[Watch Time (Hours)]]&gt;=40,"High",IF(Series_Data[[#This Row],[Watch Time (Hours)]]&gt;=20,"Medium","Low"))</f>
        <v>Low</v>
      </c>
      <c r="N89" s="3" t="str">
        <f>IF(Series_Data[[#This Row],[Seasons]]=1,"Low",IF(Series_Data[[#This Row],[Seasons]]&lt;=3,"Medium","Long"))</f>
        <v>Medium</v>
      </c>
      <c r="O89" t="str">
        <f t="shared" si="2"/>
        <v>May</v>
      </c>
    </row>
    <row r="90" spans="1:15" x14ac:dyDescent="0.3">
      <c r="A90" s="3" t="s">
        <v>233</v>
      </c>
      <c r="B90" s="3" t="s">
        <v>234</v>
      </c>
      <c r="C90" s="3" t="s">
        <v>62</v>
      </c>
      <c r="D90" s="3">
        <v>1</v>
      </c>
      <c r="E90" s="3">
        <v>24</v>
      </c>
      <c r="F90" s="4">
        <v>8.1999999999999993</v>
      </c>
      <c r="G90" s="5">
        <v>46030</v>
      </c>
      <c r="H90" s="5">
        <v>46364</v>
      </c>
      <c r="I90" s="4">
        <v>18</v>
      </c>
      <c r="J90" s="3" t="s">
        <v>14</v>
      </c>
      <c r="K90" s="7">
        <f>IFERROR(Series_Data[[#This Row],[Episodes]]/Series_Data[[#This Row],[Seasons]],0)</f>
        <v>24</v>
      </c>
      <c r="L90" s="3" t="str">
        <f>IF(Series_Data[[#This Row],[Rating]]&gt;=9,"Excellent",IF(Series_Data[[#This Row],[Rating]]&gt;=8,"Good",IF(Series_Data[[#This Row],[Rating]]&gt;=7,"Avg","Low")))</f>
        <v>Good</v>
      </c>
      <c r="M90" s="3" t="str">
        <f>IF(Series_Data[[#This Row],[Watch Time (Hours)]]&gt;=40,"High",IF(Series_Data[[#This Row],[Watch Time (Hours)]]&gt;=20,"Medium","Low"))</f>
        <v>Low</v>
      </c>
      <c r="N90" s="3" t="str">
        <f>IF(Series_Data[[#This Row],[Seasons]]=1,"Low",IF(Series_Data[[#This Row],[Seasons]]&lt;=3,"Medium","Long"))</f>
        <v>Low</v>
      </c>
      <c r="O90" t="str">
        <f t="shared" si="2"/>
        <v>Jan</v>
      </c>
    </row>
    <row r="91" spans="1:15" x14ac:dyDescent="0.3">
      <c r="A91" s="3" t="s">
        <v>235</v>
      </c>
      <c r="B91" s="3" t="s">
        <v>236</v>
      </c>
      <c r="C91" s="3" t="s">
        <v>62</v>
      </c>
      <c r="D91" s="3">
        <v>4</v>
      </c>
      <c r="E91" s="3">
        <v>85</v>
      </c>
      <c r="F91" s="4">
        <v>8.6999999999999993</v>
      </c>
      <c r="G91" s="5">
        <v>46144</v>
      </c>
      <c r="H91" s="5" t="s">
        <v>117</v>
      </c>
      <c r="I91" s="4">
        <v>45</v>
      </c>
      <c r="J91" s="3" t="s">
        <v>14</v>
      </c>
      <c r="K91" s="7">
        <f>IFERROR(Series_Data[[#This Row],[Episodes]]/Series_Data[[#This Row],[Seasons]],0)</f>
        <v>21.25</v>
      </c>
      <c r="L91" s="3" t="str">
        <f>IF(Series_Data[[#This Row],[Rating]]&gt;=9,"Excellent",IF(Series_Data[[#This Row],[Rating]]&gt;=8,"Good",IF(Series_Data[[#This Row],[Rating]]&gt;=7,"Avg","Low")))</f>
        <v>Good</v>
      </c>
      <c r="M91" s="3" t="str">
        <f>IF(Series_Data[[#This Row],[Watch Time (Hours)]]&gt;=40,"High",IF(Series_Data[[#This Row],[Watch Time (Hours)]]&gt;=20,"Medium","Low"))</f>
        <v>High</v>
      </c>
      <c r="N91" s="3" t="str">
        <f>IF(Series_Data[[#This Row],[Seasons]]=1,"Low",IF(Series_Data[[#This Row],[Seasons]]&lt;=3,"Medium","Long"))</f>
        <v>Long</v>
      </c>
      <c r="O91" t="str">
        <f t="shared" si="2"/>
        <v>May</v>
      </c>
    </row>
    <row r="92" spans="1:15" x14ac:dyDescent="0.3">
      <c r="A92" s="3" t="s">
        <v>237</v>
      </c>
      <c r="B92" s="3" t="s">
        <v>150</v>
      </c>
      <c r="C92" s="3" t="s">
        <v>49</v>
      </c>
      <c r="D92" s="3">
        <v>2</v>
      </c>
      <c r="E92" s="3">
        <v>16</v>
      </c>
      <c r="F92" s="4">
        <v>8.1</v>
      </c>
      <c r="G92" s="5">
        <v>46150</v>
      </c>
      <c r="H92" s="5"/>
      <c r="I92" s="4">
        <v>10</v>
      </c>
      <c r="J92" s="3" t="s">
        <v>70</v>
      </c>
      <c r="K92" s="7">
        <f>IFERROR(Series_Data[[#This Row],[Episodes]]/Series_Data[[#This Row],[Seasons]],0)</f>
        <v>8</v>
      </c>
      <c r="L92" s="3" t="str">
        <f>IF(Series_Data[[#This Row],[Rating]]&gt;=9,"Excellent",IF(Series_Data[[#This Row],[Rating]]&gt;=8,"Good",IF(Series_Data[[#This Row],[Rating]]&gt;=7,"Avg","Low")))</f>
        <v>Good</v>
      </c>
      <c r="M92" s="3" t="str">
        <f>IF(Series_Data[[#This Row],[Watch Time (Hours)]]&gt;=40,"High",IF(Series_Data[[#This Row],[Watch Time (Hours)]]&gt;=20,"Medium","Low"))</f>
        <v>Low</v>
      </c>
      <c r="N92" s="3" t="str">
        <f>IF(Series_Data[[#This Row],[Seasons]]=1,"Low",IF(Series_Data[[#This Row],[Seasons]]&lt;=3,"Medium","Long"))</f>
        <v>Medium</v>
      </c>
      <c r="O92" t="str">
        <f t="shared" si="2"/>
        <v>May</v>
      </c>
    </row>
    <row r="93" spans="1:15" x14ac:dyDescent="0.3">
      <c r="A93" s="3" t="s">
        <v>238</v>
      </c>
      <c r="B93" s="3" t="s">
        <v>48</v>
      </c>
      <c r="C93" s="3" t="s">
        <v>49</v>
      </c>
      <c r="D93" s="3">
        <v>4</v>
      </c>
      <c r="E93" s="3">
        <v>32</v>
      </c>
      <c r="F93" s="4">
        <v>8.6999999999999993</v>
      </c>
      <c r="G93" s="5">
        <v>46303</v>
      </c>
      <c r="H93" s="5"/>
      <c r="I93" s="4">
        <v>12</v>
      </c>
      <c r="J93" s="3" t="s">
        <v>70</v>
      </c>
      <c r="K93" s="7">
        <f>IFERROR(Series_Data[[#This Row],[Episodes]]/Series_Data[[#This Row],[Seasons]],0)</f>
        <v>8</v>
      </c>
      <c r="L93" s="3" t="str">
        <f>IF(Series_Data[[#This Row],[Rating]]&gt;=9,"Excellent",IF(Series_Data[[#This Row],[Rating]]&gt;=8,"Good",IF(Series_Data[[#This Row],[Rating]]&gt;=7,"Avg","Low")))</f>
        <v>Good</v>
      </c>
      <c r="M93" s="3" t="str">
        <f>IF(Series_Data[[#This Row],[Watch Time (Hours)]]&gt;=40,"High",IF(Series_Data[[#This Row],[Watch Time (Hours)]]&gt;=20,"Medium","Low"))</f>
        <v>Low</v>
      </c>
      <c r="N93" s="3" t="str">
        <f>IF(Series_Data[[#This Row],[Seasons]]=1,"Low",IF(Series_Data[[#This Row],[Seasons]]&lt;=3,"Medium","Long"))</f>
        <v>Long</v>
      </c>
      <c r="O93" t="str">
        <f t="shared" si="2"/>
        <v>Oct</v>
      </c>
    </row>
    <row r="94" spans="1:15" x14ac:dyDescent="0.3">
      <c r="A94" s="3" t="s">
        <v>239</v>
      </c>
      <c r="B94" s="3" t="s">
        <v>11</v>
      </c>
      <c r="C94" s="3" t="s">
        <v>12</v>
      </c>
      <c r="D94" s="3">
        <v>4</v>
      </c>
      <c r="E94" s="3">
        <v>34</v>
      </c>
      <c r="F94" s="4">
        <v>9.1</v>
      </c>
      <c r="G94" s="5">
        <v>46364</v>
      </c>
      <c r="H94" s="5"/>
      <c r="I94" s="4">
        <v>8</v>
      </c>
      <c r="J94" s="3" t="s">
        <v>70</v>
      </c>
      <c r="K94" s="7">
        <f>IFERROR(Series_Data[[#This Row],[Episodes]]/Series_Data[[#This Row],[Seasons]],0)</f>
        <v>8.5</v>
      </c>
      <c r="L94" s="3" t="str">
        <f>IF(Series_Data[[#This Row],[Rating]]&gt;=9,"Excellent",IF(Series_Data[[#This Row],[Rating]]&gt;=8,"Good",IF(Series_Data[[#This Row],[Rating]]&gt;=7,"Avg","Low")))</f>
        <v>Excellent</v>
      </c>
      <c r="M94" s="3" t="str">
        <f>IF(Series_Data[[#This Row],[Watch Time (Hours)]]&gt;=40,"High",IF(Series_Data[[#This Row],[Watch Time (Hours)]]&gt;=20,"Medium","Low"))</f>
        <v>Low</v>
      </c>
      <c r="N94" s="3" t="str">
        <f>IF(Series_Data[[#This Row],[Seasons]]=1,"Low",IF(Series_Data[[#This Row],[Seasons]]&lt;=3,"Medium","Long"))</f>
        <v>Long</v>
      </c>
      <c r="O94" t="str">
        <f t="shared" si="2"/>
        <v>Dec</v>
      </c>
    </row>
    <row r="95" spans="1:15" x14ac:dyDescent="0.3">
      <c r="A95" s="3" t="s">
        <v>240</v>
      </c>
      <c r="B95" s="3" t="s">
        <v>52</v>
      </c>
      <c r="C95" s="3" t="s">
        <v>53</v>
      </c>
      <c r="D95" s="3">
        <v>1</v>
      </c>
      <c r="E95" s="3">
        <v>8</v>
      </c>
      <c r="F95" s="4">
        <v>8</v>
      </c>
      <c r="G95" s="5" t="s">
        <v>241</v>
      </c>
      <c r="H95" s="5"/>
      <c r="I95" s="4">
        <v>4</v>
      </c>
      <c r="J95" s="3" t="s">
        <v>70</v>
      </c>
      <c r="K95" s="7">
        <f>IFERROR(Series_Data[[#This Row],[Episodes]]/Series_Data[[#This Row],[Seasons]],0)</f>
        <v>8</v>
      </c>
      <c r="L95" s="3" t="str">
        <f>IF(Series_Data[[#This Row],[Rating]]&gt;=9,"Excellent",IF(Series_Data[[#This Row],[Rating]]&gt;=8,"Good",IF(Series_Data[[#This Row],[Rating]]&gt;=7,"Avg","Low")))</f>
        <v>Good</v>
      </c>
      <c r="M95" s="3" t="str">
        <f>IF(Series_Data[[#This Row],[Watch Time (Hours)]]&gt;=40,"High",IF(Series_Data[[#This Row],[Watch Time (Hours)]]&gt;=20,"Medium","Low"))</f>
        <v>Low</v>
      </c>
      <c r="N95" s="3" t="str">
        <f>IF(Series_Data[[#This Row],[Seasons]]=1,"Low",IF(Series_Data[[#This Row],[Seasons]]&lt;=3,"Medium","Long"))</f>
        <v>Low</v>
      </c>
      <c r="O95" t="str">
        <f t="shared" si="2"/>
        <v>Aug</v>
      </c>
    </row>
    <row r="96" spans="1:15" x14ac:dyDescent="0.3">
      <c r="A96" s="3" t="s">
        <v>242</v>
      </c>
      <c r="B96" s="3" t="s">
        <v>65</v>
      </c>
      <c r="C96" s="3" t="s">
        <v>66</v>
      </c>
      <c r="D96" s="3">
        <v>3</v>
      </c>
      <c r="E96" s="3">
        <v>24</v>
      </c>
      <c r="F96" s="4">
        <v>8.1999999999999993</v>
      </c>
      <c r="G96" s="5" t="s">
        <v>243</v>
      </c>
      <c r="H96" s="5"/>
      <c r="I96" s="4">
        <v>6</v>
      </c>
      <c r="J96" s="3" t="s">
        <v>70</v>
      </c>
      <c r="K96" s="7">
        <f>IFERROR(Series_Data[[#This Row],[Episodes]]/Series_Data[[#This Row],[Seasons]],0)</f>
        <v>8</v>
      </c>
      <c r="L96" s="3" t="str">
        <f>IF(Series_Data[[#This Row],[Rating]]&gt;=9,"Excellent",IF(Series_Data[[#This Row],[Rating]]&gt;=8,"Good",IF(Series_Data[[#This Row],[Rating]]&gt;=7,"Avg","Low")))</f>
        <v>Good</v>
      </c>
      <c r="M96" s="3" t="str">
        <f>IF(Series_Data[[#This Row],[Watch Time (Hours)]]&gt;=40,"High",IF(Series_Data[[#This Row],[Watch Time (Hours)]]&gt;=20,"Medium","Low"))</f>
        <v>Low</v>
      </c>
      <c r="N96" s="3" t="str">
        <f>IF(Series_Data[[#This Row],[Seasons]]=1,"Low",IF(Series_Data[[#This Row],[Seasons]]&lt;=3,"Medium","Long"))</f>
        <v>Medium</v>
      </c>
      <c r="O96" t="str">
        <f t="shared" si="2"/>
        <v>Aug</v>
      </c>
    </row>
    <row r="97" spans="1:15" x14ac:dyDescent="0.3">
      <c r="A97" s="3" t="s">
        <v>244</v>
      </c>
      <c r="B97" s="3" t="s">
        <v>245</v>
      </c>
      <c r="C97" s="3" t="s">
        <v>49</v>
      </c>
      <c r="D97" s="3">
        <v>3</v>
      </c>
      <c r="E97" s="3">
        <v>39</v>
      </c>
      <c r="F97" s="4">
        <v>8.6</v>
      </c>
      <c r="G97" s="5" t="s">
        <v>67</v>
      </c>
      <c r="H97" s="5"/>
      <c r="I97" s="4">
        <v>7</v>
      </c>
      <c r="J97" s="3" t="s">
        <v>70</v>
      </c>
      <c r="K97" s="7">
        <f>IFERROR(Series_Data[[#This Row],[Episodes]]/Series_Data[[#This Row],[Seasons]],0)</f>
        <v>13</v>
      </c>
      <c r="L97" s="3" t="str">
        <f>IF(Series_Data[[#This Row],[Rating]]&gt;=9,"Excellent",IF(Series_Data[[#This Row],[Rating]]&gt;=8,"Good",IF(Series_Data[[#This Row],[Rating]]&gt;=7,"Avg","Low")))</f>
        <v>Good</v>
      </c>
      <c r="M97" s="3" t="str">
        <f>IF(Series_Data[[#This Row],[Watch Time (Hours)]]&gt;=40,"High",IF(Series_Data[[#This Row],[Watch Time (Hours)]]&gt;=20,"Medium","Low"))</f>
        <v>Low</v>
      </c>
      <c r="N97" s="3" t="str">
        <f>IF(Series_Data[[#This Row],[Seasons]]=1,"Low",IF(Series_Data[[#This Row],[Seasons]]&lt;=3,"Medium","Long"))</f>
        <v>Medium</v>
      </c>
      <c r="O97" t="str">
        <f t="shared" si="2"/>
        <v>Aug</v>
      </c>
    </row>
    <row r="98" spans="1:15" x14ac:dyDescent="0.3">
      <c r="A98" s="3" t="s">
        <v>246</v>
      </c>
      <c r="B98" s="3" t="s">
        <v>72</v>
      </c>
      <c r="C98" s="3" t="s">
        <v>17</v>
      </c>
      <c r="D98" s="3">
        <v>2</v>
      </c>
      <c r="E98" s="3">
        <v>18</v>
      </c>
      <c r="F98" s="4">
        <v>8.4</v>
      </c>
      <c r="G98" s="5" t="s">
        <v>67</v>
      </c>
      <c r="H98" s="5"/>
      <c r="I98" s="4">
        <v>5</v>
      </c>
      <c r="J98" s="3" t="s">
        <v>70</v>
      </c>
      <c r="K98" s="7">
        <f>IFERROR(Series_Data[[#This Row],[Episodes]]/Series_Data[[#This Row],[Seasons]],0)</f>
        <v>9</v>
      </c>
      <c r="L98" s="3" t="str">
        <f>IF(Series_Data[[#This Row],[Rating]]&gt;=9,"Excellent",IF(Series_Data[[#This Row],[Rating]]&gt;=8,"Good",IF(Series_Data[[#This Row],[Rating]]&gt;=7,"Avg","Low")))</f>
        <v>Good</v>
      </c>
      <c r="M98" s="3" t="str">
        <f>IF(Series_Data[[#This Row],[Watch Time (Hours)]]&gt;=40,"High",IF(Series_Data[[#This Row],[Watch Time (Hours)]]&gt;=20,"Medium","Low"))</f>
        <v>Low</v>
      </c>
      <c r="N98" s="3" t="str">
        <f>IF(Series_Data[[#This Row],[Seasons]]=1,"Low",IF(Series_Data[[#This Row],[Seasons]]&lt;=3,"Medium","Long"))</f>
        <v>Medium</v>
      </c>
      <c r="O98" t="str">
        <f t="shared" si="2"/>
        <v>Aug</v>
      </c>
    </row>
    <row r="99" spans="1:15" x14ac:dyDescent="0.3">
      <c r="A99" s="3" t="s">
        <v>247</v>
      </c>
      <c r="B99" s="3" t="s">
        <v>69</v>
      </c>
      <c r="C99" s="3" t="s">
        <v>25</v>
      </c>
      <c r="D99" s="3">
        <v>1</v>
      </c>
      <c r="E99" s="3">
        <v>9</v>
      </c>
      <c r="F99" s="4">
        <v>8.8000000000000007</v>
      </c>
      <c r="G99" s="5" t="s">
        <v>248</v>
      </c>
      <c r="H99" s="5"/>
      <c r="I99" s="4">
        <v>3.5</v>
      </c>
      <c r="J99" s="3" t="s">
        <v>70</v>
      </c>
      <c r="K99" s="7">
        <f>IFERROR(Series_Data[[#This Row],[Episodes]]/Series_Data[[#This Row],[Seasons]],0)</f>
        <v>9</v>
      </c>
      <c r="L99" s="3" t="str">
        <f>IF(Series_Data[[#This Row],[Rating]]&gt;=9,"Excellent",IF(Series_Data[[#This Row],[Rating]]&gt;=8,"Good",IF(Series_Data[[#This Row],[Rating]]&gt;=7,"Avg","Low")))</f>
        <v>Good</v>
      </c>
      <c r="M99" s="3" t="str">
        <f>IF(Series_Data[[#This Row],[Watch Time (Hours)]]&gt;=40,"High",IF(Series_Data[[#This Row],[Watch Time (Hours)]]&gt;=20,"Medium","Low"))</f>
        <v>Low</v>
      </c>
      <c r="N99" s="3" t="str">
        <f>IF(Series_Data[[#This Row],[Seasons]]=1,"Low",IF(Series_Data[[#This Row],[Seasons]]&lt;=3,"Medium","Long"))</f>
        <v>Low</v>
      </c>
      <c r="O99" t="str">
        <f t="shared" si="2"/>
        <v>Aug</v>
      </c>
    </row>
    <row r="100" spans="1:15" x14ac:dyDescent="0.3">
      <c r="A100" s="3" t="s">
        <v>249</v>
      </c>
      <c r="B100" s="3" t="s">
        <v>74</v>
      </c>
      <c r="C100" s="3" t="s">
        <v>75</v>
      </c>
      <c r="D100" s="3">
        <v>1</v>
      </c>
      <c r="E100" s="3">
        <v>8</v>
      </c>
      <c r="F100" s="4">
        <v>8.3000000000000007</v>
      </c>
      <c r="G100" s="5" t="s">
        <v>248</v>
      </c>
      <c r="H100" s="5"/>
      <c r="I100" s="4">
        <v>2.5</v>
      </c>
      <c r="J100" s="3" t="s">
        <v>70</v>
      </c>
      <c r="K100" s="7">
        <f>IFERROR(Series_Data[[#This Row],[Episodes]]/Series_Data[[#This Row],[Seasons]],0)</f>
        <v>8</v>
      </c>
      <c r="L100" s="3" t="str">
        <f>IF(Series_Data[[#This Row],[Rating]]&gt;=9,"Excellent",IF(Series_Data[[#This Row],[Rating]]&gt;=8,"Good",IF(Series_Data[[#This Row],[Rating]]&gt;=7,"Avg","Low")))</f>
        <v>Good</v>
      </c>
      <c r="M100" s="3" t="str">
        <f>IF(Series_Data[[#This Row],[Watch Time (Hours)]]&gt;=40,"High",IF(Series_Data[[#This Row],[Watch Time (Hours)]]&gt;=20,"Medium","Low"))</f>
        <v>Low</v>
      </c>
      <c r="N100" s="3" t="str">
        <f>IF(Series_Data[[#This Row],[Seasons]]=1,"Low",IF(Series_Data[[#This Row],[Seasons]]&lt;=3,"Medium","Long"))</f>
        <v>Low</v>
      </c>
      <c r="O100" t="str">
        <f t="shared" si="2"/>
        <v>Aug</v>
      </c>
    </row>
    <row r="101" spans="1:15" x14ac:dyDescent="0.3">
      <c r="A101" s="3" t="s">
        <v>250</v>
      </c>
      <c r="B101" s="3" t="s">
        <v>77</v>
      </c>
      <c r="C101" s="3" t="s">
        <v>12</v>
      </c>
      <c r="D101" s="3">
        <v>4</v>
      </c>
      <c r="E101" s="3">
        <v>36</v>
      </c>
      <c r="F101" s="4">
        <v>7.8</v>
      </c>
      <c r="G101" s="5" t="s">
        <v>248</v>
      </c>
      <c r="H101" s="5"/>
      <c r="I101" s="4">
        <v>4</v>
      </c>
      <c r="J101" s="3" t="s">
        <v>70</v>
      </c>
      <c r="K101" s="7">
        <f>IFERROR(Series_Data[[#This Row],[Episodes]]/Series_Data[[#This Row],[Seasons]],0)</f>
        <v>9</v>
      </c>
      <c r="L101" s="3" t="str">
        <f>IF(Series_Data[[#This Row],[Rating]]&gt;=9,"Excellent",IF(Series_Data[[#This Row],[Rating]]&gt;=8,"Good",IF(Series_Data[[#This Row],[Rating]]&gt;=7,"Avg","Low")))</f>
        <v>Avg</v>
      </c>
      <c r="M101" s="3" t="str">
        <f>IF(Series_Data[[#This Row],[Watch Time (Hours)]]&gt;=40,"High",IF(Series_Data[[#This Row],[Watch Time (Hours)]]&gt;=20,"Medium","Low"))</f>
        <v>Low</v>
      </c>
      <c r="N101" s="3" t="str">
        <f>IF(Series_Data[[#This Row],[Seasons]]=1,"Low",IF(Series_Data[[#This Row],[Seasons]]&lt;=3,"Medium","Long"))</f>
        <v>Long</v>
      </c>
      <c r="O101" t="str">
        <f t="shared" si="2"/>
        <v>Aug</v>
      </c>
    </row>
    <row r="102" spans="1:15" x14ac:dyDescent="0.3">
      <c r="O102" t="str">
        <f t="shared" si="2"/>
        <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68D-83AC-48FF-82C8-8914616CA52D}">
  <dimension ref="A1:B6"/>
  <sheetViews>
    <sheetView workbookViewId="0">
      <selection activeCell="C7" sqref="C7"/>
    </sheetView>
  </sheetViews>
  <sheetFormatPr defaultRowHeight="14.4" x14ac:dyDescent="0.3"/>
  <cols>
    <col min="1" max="1" width="24.33203125" customWidth="1"/>
    <col min="2" max="2" width="42.21875" customWidth="1"/>
  </cols>
  <sheetData>
    <row r="1" spans="1:2" x14ac:dyDescent="0.3">
      <c r="A1" s="13" t="s">
        <v>260</v>
      </c>
      <c r="B1" s="12" t="s">
        <v>261</v>
      </c>
    </row>
    <row r="2" spans="1:2" x14ac:dyDescent="0.3">
      <c r="A2" s="10" t="s">
        <v>259</v>
      </c>
      <c r="B2" s="14">
        <f>SUM(Series_Data[Watch Time (Hours)])</f>
        <v>2665</v>
      </c>
    </row>
    <row r="3" spans="1:2" x14ac:dyDescent="0.3">
      <c r="A3" s="10" t="s">
        <v>258</v>
      </c>
      <c r="B3" s="14">
        <f>AVERAGE(Series_Data!F1:F101)</f>
        <v>8.2250000000000014</v>
      </c>
    </row>
    <row r="4" spans="1:2" x14ac:dyDescent="0.3">
      <c r="A4" s="10" t="s">
        <v>257</v>
      </c>
      <c r="B4" s="14">
        <f>COUNTA(Series_Data!G1:G101)</f>
        <v>101</v>
      </c>
    </row>
    <row r="5" spans="1:2" x14ac:dyDescent="0.3">
      <c r="A5" s="10" t="s">
        <v>256</v>
      </c>
      <c r="B5" s="14">
        <f>COUNTIF(Series_Data[Status],"Completed")</f>
        <v>85</v>
      </c>
    </row>
    <row r="6" spans="1:2" x14ac:dyDescent="0.3">
      <c r="A6" s="11" t="s">
        <v>255</v>
      </c>
      <c r="B6" s="14">
        <f>COUNTIF(Series_Data!J1:J101,"Ongoing")</f>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AC40-2499-42BD-B31F-FEF787914CC3}">
  <dimension ref="A3:B17"/>
  <sheetViews>
    <sheetView workbookViewId="0">
      <selection activeCell="C4" sqref="C4"/>
    </sheetView>
  </sheetViews>
  <sheetFormatPr defaultRowHeight="14.4" x14ac:dyDescent="0.3"/>
  <cols>
    <col min="1" max="1" width="12.5546875" bestFit="1" customWidth="1"/>
    <col min="2" max="2" width="24.44140625" bestFit="1" customWidth="1"/>
  </cols>
  <sheetData>
    <row r="3" spans="1:2" x14ac:dyDescent="0.3">
      <c r="A3" s="15" t="s">
        <v>262</v>
      </c>
      <c r="B3" t="s">
        <v>265</v>
      </c>
    </row>
    <row r="4" spans="1:2" x14ac:dyDescent="0.3">
      <c r="A4" s="16" t="s">
        <v>49</v>
      </c>
      <c r="B4">
        <v>244</v>
      </c>
    </row>
    <row r="5" spans="1:2" x14ac:dyDescent="0.3">
      <c r="A5" s="16" t="s">
        <v>75</v>
      </c>
      <c r="B5">
        <v>37.5</v>
      </c>
    </row>
    <row r="6" spans="1:2" x14ac:dyDescent="0.3">
      <c r="A6" s="16" t="s">
        <v>62</v>
      </c>
      <c r="B6">
        <v>330.5</v>
      </c>
    </row>
    <row r="7" spans="1:2" x14ac:dyDescent="0.3">
      <c r="A7" s="16" t="s">
        <v>53</v>
      </c>
      <c r="B7">
        <v>414.5</v>
      </c>
    </row>
    <row r="8" spans="1:2" x14ac:dyDescent="0.3">
      <c r="A8" s="16" t="s">
        <v>21</v>
      </c>
      <c r="B8">
        <v>266</v>
      </c>
    </row>
    <row r="9" spans="1:2" x14ac:dyDescent="0.3">
      <c r="A9" s="16" t="s">
        <v>25</v>
      </c>
      <c r="B9">
        <v>318</v>
      </c>
    </row>
    <row r="10" spans="1:2" x14ac:dyDescent="0.3">
      <c r="A10" s="16" t="s">
        <v>17</v>
      </c>
      <c r="B10">
        <v>197</v>
      </c>
    </row>
    <row r="11" spans="1:2" x14ac:dyDescent="0.3">
      <c r="A11" s="16" t="s">
        <v>88</v>
      </c>
      <c r="B11">
        <v>238</v>
      </c>
    </row>
    <row r="12" spans="1:2" x14ac:dyDescent="0.3">
      <c r="A12" s="16" t="s">
        <v>93</v>
      </c>
      <c r="B12">
        <v>100.5</v>
      </c>
    </row>
    <row r="13" spans="1:2" x14ac:dyDescent="0.3">
      <c r="A13" s="16" t="s">
        <v>66</v>
      </c>
      <c r="B13">
        <v>85</v>
      </c>
    </row>
    <row r="14" spans="1:2" x14ac:dyDescent="0.3">
      <c r="A14" s="16" t="s">
        <v>12</v>
      </c>
      <c r="B14">
        <v>302.5</v>
      </c>
    </row>
    <row r="15" spans="1:2" x14ac:dyDescent="0.3">
      <c r="A15" s="16" t="s">
        <v>45</v>
      </c>
      <c r="B15">
        <v>131.5</v>
      </c>
    </row>
    <row r="16" spans="1:2" x14ac:dyDescent="0.3">
      <c r="A16" s="16" t="s">
        <v>263</v>
      </c>
    </row>
    <row r="17" spans="1:2" x14ac:dyDescent="0.3">
      <c r="A17" s="16" t="s">
        <v>264</v>
      </c>
      <c r="B17">
        <v>2665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DB52-7DF6-40F9-9F57-3225979EF77C}">
  <dimension ref="A3:B17"/>
  <sheetViews>
    <sheetView workbookViewId="0">
      <selection activeCell="A3" sqref="A3"/>
    </sheetView>
  </sheetViews>
  <sheetFormatPr defaultRowHeight="14.4" x14ac:dyDescent="0.3"/>
  <cols>
    <col min="1" max="1" width="12.5546875" bestFit="1" customWidth="1"/>
    <col min="2" max="2" width="16" bestFit="1" customWidth="1"/>
  </cols>
  <sheetData>
    <row r="3" spans="1:2" x14ac:dyDescent="0.3">
      <c r="A3" s="15" t="s">
        <v>262</v>
      </c>
      <c r="B3" t="s">
        <v>266</v>
      </c>
    </row>
    <row r="4" spans="1:2" x14ac:dyDescent="0.3">
      <c r="A4" s="16" t="s">
        <v>49</v>
      </c>
      <c r="B4">
        <v>11</v>
      </c>
    </row>
    <row r="5" spans="1:2" x14ac:dyDescent="0.3">
      <c r="A5" s="16" t="s">
        <v>75</v>
      </c>
      <c r="B5">
        <v>3</v>
      </c>
    </row>
    <row r="6" spans="1:2" x14ac:dyDescent="0.3">
      <c r="A6" s="16" t="s">
        <v>62</v>
      </c>
      <c r="B6">
        <v>10</v>
      </c>
    </row>
    <row r="7" spans="1:2" x14ac:dyDescent="0.3">
      <c r="A7" s="16" t="s">
        <v>53</v>
      </c>
      <c r="B7">
        <v>9</v>
      </c>
    </row>
    <row r="8" spans="1:2" x14ac:dyDescent="0.3">
      <c r="A8" s="16" t="s">
        <v>21</v>
      </c>
      <c r="B8">
        <v>8</v>
      </c>
    </row>
    <row r="9" spans="1:2" x14ac:dyDescent="0.3">
      <c r="A9" s="16" t="s">
        <v>25</v>
      </c>
      <c r="B9">
        <v>11</v>
      </c>
    </row>
    <row r="10" spans="1:2" x14ac:dyDescent="0.3">
      <c r="A10" s="16" t="s">
        <v>17</v>
      </c>
      <c r="B10">
        <v>8</v>
      </c>
    </row>
    <row r="11" spans="1:2" x14ac:dyDescent="0.3">
      <c r="A11" s="16" t="s">
        <v>88</v>
      </c>
      <c r="B11">
        <v>10</v>
      </c>
    </row>
    <row r="12" spans="1:2" x14ac:dyDescent="0.3">
      <c r="A12" s="16" t="s">
        <v>93</v>
      </c>
      <c r="B12">
        <v>4</v>
      </c>
    </row>
    <row r="13" spans="1:2" x14ac:dyDescent="0.3">
      <c r="A13" s="16" t="s">
        <v>66</v>
      </c>
      <c r="B13">
        <v>5</v>
      </c>
    </row>
    <row r="14" spans="1:2" x14ac:dyDescent="0.3">
      <c r="A14" s="16" t="s">
        <v>12</v>
      </c>
      <c r="B14">
        <v>14</v>
      </c>
    </row>
    <row r="15" spans="1:2" x14ac:dyDescent="0.3">
      <c r="A15" s="16" t="s">
        <v>45</v>
      </c>
      <c r="B15">
        <v>7</v>
      </c>
    </row>
    <row r="16" spans="1:2" x14ac:dyDescent="0.3">
      <c r="A16" s="16" t="s">
        <v>263</v>
      </c>
    </row>
    <row r="17" spans="1:2" x14ac:dyDescent="0.3">
      <c r="A17" s="16" t="s">
        <v>264</v>
      </c>
      <c r="B17">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67DA-120C-4943-BCA2-C8CE38954EA5}">
  <dimension ref="A3:B9"/>
  <sheetViews>
    <sheetView workbookViewId="0">
      <selection activeCell="B7" sqref="B7"/>
    </sheetView>
  </sheetViews>
  <sheetFormatPr defaultRowHeight="14.4" x14ac:dyDescent="0.3"/>
  <cols>
    <col min="1" max="1" width="12.5546875" bestFit="1" customWidth="1"/>
    <col min="2" max="2" width="16" bestFit="1" customWidth="1"/>
  </cols>
  <sheetData>
    <row r="3" spans="1:2" x14ac:dyDescent="0.3">
      <c r="A3" s="15" t="s">
        <v>262</v>
      </c>
      <c r="B3" t="s">
        <v>266</v>
      </c>
    </row>
    <row r="4" spans="1:2" x14ac:dyDescent="0.3">
      <c r="A4" s="16" t="s">
        <v>267</v>
      </c>
      <c r="B4">
        <v>25</v>
      </c>
    </row>
    <row r="5" spans="1:2" x14ac:dyDescent="0.3">
      <c r="A5" s="16" t="s">
        <v>268</v>
      </c>
      <c r="B5">
        <v>7</v>
      </c>
    </row>
    <row r="6" spans="1:2" x14ac:dyDescent="0.3">
      <c r="A6" s="16" t="s">
        <v>269</v>
      </c>
      <c r="B6">
        <v>66</v>
      </c>
    </row>
    <row r="7" spans="1:2" x14ac:dyDescent="0.3">
      <c r="A7" s="16" t="s">
        <v>270</v>
      </c>
      <c r="B7">
        <v>2</v>
      </c>
    </row>
    <row r="8" spans="1:2" x14ac:dyDescent="0.3">
      <c r="A8" s="16" t="s">
        <v>263</v>
      </c>
    </row>
    <row r="9" spans="1:2" x14ac:dyDescent="0.3">
      <c r="A9" s="16" t="s">
        <v>264</v>
      </c>
      <c r="B9">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3378-9035-4434-B972-2E7AEAC2A32F}">
  <dimension ref="A3:B15"/>
  <sheetViews>
    <sheetView workbookViewId="0">
      <selection activeCell="K12" sqref="K12"/>
    </sheetView>
  </sheetViews>
  <sheetFormatPr defaultRowHeight="14.4" x14ac:dyDescent="0.3"/>
  <cols>
    <col min="1" max="1" width="20.5546875" bestFit="1" customWidth="1"/>
    <col min="2" max="2" width="24.44140625" bestFit="1" customWidth="1"/>
  </cols>
  <sheetData>
    <row r="3" spans="1:2" x14ac:dyDescent="0.3">
      <c r="A3" s="15" t="s">
        <v>262</v>
      </c>
      <c r="B3" t="s">
        <v>265</v>
      </c>
    </row>
    <row r="4" spans="1:2" x14ac:dyDescent="0.3">
      <c r="A4" s="16" t="s">
        <v>171</v>
      </c>
      <c r="B4">
        <v>52</v>
      </c>
    </row>
    <row r="5" spans="1:2" x14ac:dyDescent="0.3">
      <c r="A5" s="16" t="s">
        <v>202</v>
      </c>
      <c r="B5">
        <v>55</v>
      </c>
    </row>
    <row r="6" spans="1:2" x14ac:dyDescent="0.3">
      <c r="A6" s="16" t="s">
        <v>165</v>
      </c>
      <c r="B6">
        <v>70</v>
      </c>
    </row>
    <row r="7" spans="1:2" x14ac:dyDescent="0.3">
      <c r="A7" s="16" t="s">
        <v>113</v>
      </c>
      <c r="B7">
        <v>52</v>
      </c>
    </row>
    <row r="8" spans="1:2" x14ac:dyDescent="0.3">
      <c r="A8" s="16" t="s">
        <v>162</v>
      </c>
      <c r="B8">
        <v>62</v>
      </c>
    </row>
    <row r="9" spans="1:2" x14ac:dyDescent="0.3">
      <c r="A9" s="16" t="s">
        <v>169</v>
      </c>
      <c r="B9">
        <v>72</v>
      </c>
    </row>
    <row r="10" spans="1:2" x14ac:dyDescent="0.3">
      <c r="A10" s="16" t="s">
        <v>230</v>
      </c>
      <c r="B10">
        <v>80</v>
      </c>
    </row>
    <row r="11" spans="1:2" x14ac:dyDescent="0.3">
      <c r="A11" s="16" t="s">
        <v>109</v>
      </c>
      <c r="B11">
        <v>55</v>
      </c>
    </row>
    <row r="12" spans="1:2" x14ac:dyDescent="0.3">
      <c r="A12" s="16" t="s">
        <v>124</v>
      </c>
      <c r="B12">
        <v>58</v>
      </c>
    </row>
    <row r="13" spans="1:2" x14ac:dyDescent="0.3">
      <c r="A13" s="16" t="s">
        <v>167</v>
      </c>
      <c r="B13">
        <v>66</v>
      </c>
    </row>
    <row r="14" spans="1:2" x14ac:dyDescent="0.3">
      <c r="A14" s="16" t="s">
        <v>200</v>
      </c>
      <c r="B14">
        <v>75</v>
      </c>
    </row>
    <row r="15" spans="1:2" x14ac:dyDescent="0.3">
      <c r="A15" s="16" t="s">
        <v>264</v>
      </c>
      <c r="B15">
        <v>697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D02B-151D-41C5-8854-443C83D30764}">
  <dimension ref="A3:B7"/>
  <sheetViews>
    <sheetView workbookViewId="0">
      <selection activeCell="I27" sqref="I27"/>
    </sheetView>
  </sheetViews>
  <sheetFormatPr defaultRowHeight="14.4" x14ac:dyDescent="0.3"/>
  <cols>
    <col min="1" max="1" width="12.5546875" bestFit="1" customWidth="1"/>
    <col min="2" max="2" width="16" bestFit="1" customWidth="1"/>
  </cols>
  <sheetData>
    <row r="3" spans="1:2" x14ac:dyDescent="0.3">
      <c r="A3" s="15" t="s">
        <v>262</v>
      </c>
      <c r="B3" t="s">
        <v>266</v>
      </c>
    </row>
    <row r="4" spans="1:2" x14ac:dyDescent="0.3">
      <c r="A4" s="16" t="s">
        <v>14</v>
      </c>
      <c r="B4">
        <v>85</v>
      </c>
    </row>
    <row r="5" spans="1:2" x14ac:dyDescent="0.3">
      <c r="A5" s="16" t="s">
        <v>70</v>
      </c>
      <c r="B5">
        <v>15</v>
      </c>
    </row>
    <row r="6" spans="1:2" x14ac:dyDescent="0.3">
      <c r="A6" s="16" t="s">
        <v>263</v>
      </c>
    </row>
    <row r="7" spans="1:2" x14ac:dyDescent="0.3">
      <c r="A7" s="16" t="s">
        <v>264</v>
      </c>
      <c r="B7">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738D-FD96-4B24-806B-8B24256D1602}">
  <dimension ref="B1:AA17"/>
  <sheetViews>
    <sheetView zoomScale="72" workbookViewId="0">
      <selection activeCell="N3" sqref="N3:P5"/>
    </sheetView>
  </sheetViews>
  <sheetFormatPr defaultRowHeight="14.4" x14ac:dyDescent="0.3"/>
  <sheetData>
    <row r="1" spans="2:27" x14ac:dyDescent="0.3">
      <c r="B1" s="19" t="s">
        <v>286</v>
      </c>
      <c r="C1" s="20"/>
      <c r="D1" s="20"/>
      <c r="E1" s="20"/>
      <c r="F1" s="20"/>
      <c r="G1" s="20"/>
      <c r="H1" s="20"/>
      <c r="I1" s="20"/>
      <c r="J1" s="20"/>
      <c r="K1" s="20"/>
      <c r="L1" s="20"/>
      <c r="M1" s="20"/>
      <c r="N1" s="20"/>
      <c r="O1" s="19"/>
      <c r="P1" s="20"/>
      <c r="Q1" s="20"/>
      <c r="R1" s="20"/>
      <c r="S1" s="20"/>
      <c r="T1" s="20"/>
      <c r="U1" s="20"/>
      <c r="V1" s="20"/>
      <c r="W1" s="20"/>
      <c r="X1" s="20"/>
      <c r="Y1" s="20"/>
      <c r="Z1" s="20"/>
      <c r="AA1" s="20"/>
    </row>
    <row r="2" spans="2:27" x14ac:dyDescent="0.3">
      <c r="B2" s="20"/>
      <c r="C2" s="20"/>
      <c r="D2" s="20"/>
      <c r="E2" s="20"/>
      <c r="F2" s="20"/>
      <c r="G2" s="20"/>
      <c r="H2" s="20"/>
      <c r="I2" s="20"/>
      <c r="J2" s="20"/>
      <c r="K2" s="20"/>
      <c r="L2" s="20"/>
      <c r="M2" s="20"/>
      <c r="N2" s="20"/>
      <c r="O2" s="20"/>
      <c r="P2" s="20"/>
      <c r="Q2" s="20"/>
      <c r="R2" s="20"/>
      <c r="S2" s="20"/>
      <c r="T2" s="20"/>
      <c r="U2" s="20"/>
      <c r="V2" s="20"/>
      <c r="W2" s="20"/>
      <c r="X2" s="20"/>
      <c r="Y2" s="20"/>
      <c r="Z2" s="20"/>
      <c r="AA2" s="20"/>
    </row>
    <row r="3" spans="2:27" ht="14.4" customHeight="1" x14ac:dyDescent="0.3">
      <c r="B3" s="22" t="s">
        <v>285</v>
      </c>
      <c r="C3" s="23"/>
      <c r="D3" s="24"/>
      <c r="E3" s="21"/>
      <c r="F3" s="31" t="s">
        <v>282</v>
      </c>
      <c r="G3" s="32"/>
      <c r="H3" s="33"/>
      <c r="I3" s="21"/>
      <c r="J3" s="31" t="s">
        <v>283</v>
      </c>
      <c r="K3" s="32"/>
      <c r="L3" s="33"/>
      <c r="M3" s="21"/>
      <c r="N3" s="31" t="s">
        <v>284</v>
      </c>
      <c r="O3" s="32"/>
      <c r="P3" s="33"/>
    </row>
    <row r="4" spans="2:27" x14ac:dyDescent="0.3">
      <c r="B4" s="25"/>
      <c r="C4" s="26"/>
      <c r="D4" s="27"/>
      <c r="E4" s="21"/>
      <c r="F4" s="34"/>
      <c r="G4" s="35"/>
      <c r="H4" s="36"/>
      <c r="I4" s="21"/>
      <c r="J4" s="34"/>
      <c r="K4" s="35"/>
      <c r="L4" s="36"/>
      <c r="M4" s="21"/>
      <c r="N4" s="34"/>
      <c r="O4" s="35"/>
      <c r="P4" s="36"/>
    </row>
    <row r="5" spans="2:27" x14ac:dyDescent="0.3">
      <c r="B5" s="28"/>
      <c r="C5" s="29"/>
      <c r="D5" s="30"/>
      <c r="E5" s="21"/>
      <c r="F5" s="37"/>
      <c r="G5" s="38"/>
      <c r="H5" s="39"/>
      <c r="I5" s="21"/>
      <c r="J5" s="37"/>
      <c r="K5" s="38"/>
      <c r="L5" s="39"/>
      <c r="M5" s="21"/>
      <c r="N5" s="37"/>
      <c r="O5" s="38"/>
      <c r="P5" s="39"/>
    </row>
    <row r="12" spans="2:27" x14ac:dyDescent="0.3">
      <c r="I12" s="17"/>
      <c r="J12" s="17"/>
    </row>
    <row r="17" spans="2:2" x14ac:dyDescent="0.3">
      <c r="B17" s="18"/>
    </row>
  </sheetData>
  <mergeCells count="9">
    <mergeCell ref="B3:D5"/>
    <mergeCell ref="B1:N2"/>
    <mergeCell ref="F3:H5"/>
    <mergeCell ref="N3:P5"/>
    <mergeCell ref="O1:AA2"/>
    <mergeCell ref="E3:E5"/>
    <mergeCell ref="I3:I5"/>
    <mergeCell ref="M3:M5"/>
    <mergeCell ref="J3: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Sheet9</vt:lpstr>
      <vt:lpstr>Series_Data</vt:lpstr>
      <vt:lpstr>KPI</vt:lpstr>
      <vt:lpstr>P-1</vt:lpstr>
      <vt:lpstr>P-2</vt:lpstr>
      <vt:lpstr>P-3</vt:lpstr>
      <vt:lpstr>P-4</vt:lpstr>
      <vt:lpstr>P-5</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Ilyas Shaik</dc:creator>
  <cp:lastModifiedBy>Ilyas Shaik</cp:lastModifiedBy>
  <dcterms:created xsi:type="dcterms:W3CDTF">2026-08-17T05:17:56Z</dcterms:created>
  <dcterms:modified xsi:type="dcterms:W3CDTF">2026-08-18T08:37:26Z</dcterms:modified>
</cp:coreProperties>
</file>